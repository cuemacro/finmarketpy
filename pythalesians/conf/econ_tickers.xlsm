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Local\pymiletus\pythalesians\conf\"/>
    </mc:Choice>
  </mc:AlternateContent>
  <bookViews>
    <workbookView xWindow="0" yWindow="0" windowWidth="16185" windowHeight="6638" activeTab="1"/>
  </bookViews>
  <sheets>
    <sheet name="main" sheetId="6" r:id="rId1"/>
    <sheet name="all_econ_tickers" sheetId="3" r:id="rId2"/>
    <sheet name="scrap" sheetId="8" r:id="rId3"/>
    <sheet name="econ_country_codes" sheetId="4" r:id="rId4"/>
    <sheet name="econ_country_groups" sheetId="5" r:id="rId5"/>
    <sheet name="US State Tickers" sheetId="2" r:id="rId6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6" i="5" l="1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165" i="5"/>
  <c r="A352" i="3" l="1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302" i="3" l="1"/>
  <c r="A303" i="3"/>
  <c r="A304" i="3"/>
  <c r="A307" i="3"/>
  <c r="A309" i="3"/>
  <c r="A310" i="3"/>
  <c r="A311" i="3"/>
  <c r="A312" i="3"/>
  <c r="A315" i="3"/>
  <c r="A317" i="3"/>
  <c r="A318" i="3"/>
  <c r="A319" i="3"/>
  <c r="A320" i="3"/>
  <c r="A323" i="3"/>
  <c r="A325" i="3"/>
  <c r="A326" i="3"/>
  <c r="A327" i="3"/>
  <c r="A328" i="3"/>
  <c r="A331" i="3"/>
  <c r="A333" i="3"/>
  <c r="A334" i="3"/>
  <c r="A335" i="3"/>
  <c r="A336" i="3"/>
  <c r="A339" i="3"/>
  <c r="A341" i="3"/>
  <c r="A342" i="3"/>
  <c r="A343" i="3"/>
  <c r="A344" i="3"/>
  <c r="A347" i="3"/>
  <c r="A349" i="3"/>
  <c r="A350" i="3"/>
  <c r="A351" i="3"/>
  <c r="J303" i="3"/>
  <c r="J304" i="3" s="1"/>
  <c r="E303" i="3"/>
  <c r="E304" i="3" s="1"/>
  <c r="E305" i="3" s="1"/>
  <c r="E306" i="3" s="1"/>
  <c r="E307" i="3" s="1"/>
  <c r="E308" i="3" s="1"/>
  <c r="E309" i="3" s="1"/>
  <c r="E310" i="3" s="1"/>
  <c r="E311" i="3" s="1"/>
  <c r="E312" i="3" s="1"/>
  <c r="E313" i="3" s="1"/>
  <c r="E314" i="3" s="1"/>
  <c r="E315" i="3" s="1"/>
  <c r="E316" i="3" s="1"/>
  <c r="E317" i="3" s="1"/>
  <c r="E318" i="3" s="1"/>
  <c r="E319" i="3" s="1"/>
  <c r="E320" i="3" s="1"/>
  <c r="E321" i="3" s="1"/>
  <c r="E322" i="3" s="1"/>
  <c r="E323" i="3" s="1"/>
  <c r="E324" i="3" s="1"/>
  <c r="E325" i="3" s="1"/>
  <c r="E326" i="3" s="1"/>
  <c r="E327" i="3" s="1"/>
  <c r="E328" i="3" s="1"/>
  <c r="E329" i="3" s="1"/>
  <c r="E330" i="3" s="1"/>
  <c r="E331" i="3" s="1"/>
  <c r="E332" i="3" s="1"/>
  <c r="E333" i="3" s="1"/>
  <c r="E334" i="3" s="1"/>
  <c r="E335" i="3" s="1"/>
  <c r="E336" i="3" s="1"/>
  <c r="E337" i="3" s="1"/>
  <c r="E338" i="3" s="1"/>
  <c r="E339" i="3" s="1"/>
  <c r="E340" i="3" s="1"/>
  <c r="E341" i="3" s="1"/>
  <c r="E342" i="3" s="1"/>
  <c r="E343" i="3" s="1"/>
  <c r="E344" i="3" s="1"/>
  <c r="E345" i="3" s="1"/>
  <c r="E346" i="3" s="1"/>
  <c r="E347" i="3" s="1"/>
  <c r="E348" i="3" s="1"/>
  <c r="E349" i="3" s="1"/>
  <c r="E350" i="3" s="1"/>
  <c r="E351" i="3" s="1"/>
  <c r="D303" i="3"/>
  <c r="D304" i="3" s="1"/>
  <c r="D305" i="3" s="1"/>
  <c r="D306" i="3" s="1"/>
  <c r="D307" i="3" s="1"/>
  <c r="D308" i="3" s="1"/>
  <c r="D309" i="3" s="1"/>
  <c r="D310" i="3" s="1"/>
  <c r="D311" i="3" s="1"/>
  <c r="D312" i="3" s="1"/>
  <c r="D313" i="3" s="1"/>
  <c r="D314" i="3" s="1"/>
  <c r="D315" i="3" s="1"/>
  <c r="D316" i="3" s="1"/>
  <c r="D317" i="3" s="1"/>
  <c r="D318" i="3" s="1"/>
  <c r="D319" i="3" s="1"/>
  <c r="D320" i="3" s="1"/>
  <c r="D321" i="3" s="1"/>
  <c r="D322" i="3" s="1"/>
  <c r="D323" i="3" s="1"/>
  <c r="D324" i="3" s="1"/>
  <c r="D325" i="3" s="1"/>
  <c r="D326" i="3" s="1"/>
  <c r="D327" i="3" s="1"/>
  <c r="D328" i="3" s="1"/>
  <c r="D329" i="3" s="1"/>
  <c r="D330" i="3" s="1"/>
  <c r="D331" i="3" s="1"/>
  <c r="D332" i="3" s="1"/>
  <c r="D333" i="3" s="1"/>
  <c r="D334" i="3" s="1"/>
  <c r="D335" i="3" s="1"/>
  <c r="D336" i="3" s="1"/>
  <c r="D337" i="3" s="1"/>
  <c r="D338" i="3" s="1"/>
  <c r="D339" i="3" s="1"/>
  <c r="D340" i="3" s="1"/>
  <c r="D341" i="3" s="1"/>
  <c r="D342" i="3" s="1"/>
  <c r="D343" i="3" s="1"/>
  <c r="D344" i="3" s="1"/>
  <c r="D345" i="3" s="1"/>
  <c r="D346" i="3" s="1"/>
  <c r="D347" i="3" s="1"/>
  <c r="D348" i="3" s="1"/>
  <c r="D349" i="3" s="1"/>
  <c r="D350" i="3" s="1"/>
  <c r="D351" i="3" s="1"/>
  <c r="C303" i="3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338" i="3" s="1"/>
  <c r="C339" i="3" s="1"/>
  <c r="C340" i="3" s="1"/>
  <c r="C341" i="3" s="1"/>
  <c r="C342" i="3" s="1"/>
  <c r="C343" i="3" s="1"/>
  <c r="C344" i="3" s="1"/>
  <c r="C345" i="3" s="1"/>
  <c r="C346" i="3" s="1"/>
  <c r="C347" i="3" s="1"/>
  <c r="C348" i="3" s="1"/>
  <c r="C349" i="3" s="1"/>
  <c r="C350" i="3" s="1"/>
  <c r="C351" i="3" s="1"/>
  <c r="F302" i="3"/>
  <c r="G302" i="3" s="1"/>
  <c r="A52" i="3"/>
  <c r="A58" i="3"/>
  <c r="A66" i="3"/>
  <c r="A74" i="3"/>
  <c r="A82" i="3"/>
  <c r="A90" i="3"/>
  <c r="A102" i="3"/>
  <c r="A152" i="3"/>
  <c r="A154" i="3"/>
  <c r="A162" i="3"/>
  <c r="A170" i="3"/>
  <c r="A178" i="3"/>
  <c r="A186" i="3"/>
  <c r="A194" i="3"/>
  <c r="A202" i="3"/>
  <c r="A252" i="3"/>
  <c r="A2" i="3"/>
  <c r="J253" i="3"/>
  <c r="J254" i="3" s="1"/>
  <c r="E253" i="3"/>
  <c r="E254" i="3" s="1"/>
  <c r="E255" i="3" s="1"/>
  <c r="E256" i="3" s="1"/>
  <c r="E257" i="3" s="1"/>
  <c r="E258" i="3" s="1"/>
  <c r="E259" i="3" s="1"/>
  <c r="E260" i="3" s="1"/>
  <c r="E261" i="3" s="1"/>
  <c r="E262" i="3" s="1"/>
  <c r="E263" i="3" s="1"/>
  <c r="E264" i="3" s="1"/>
  <c r="E265" i="3" s="1"/>
  <c r="E266" i="3" s="1"/>
  <c r="E267" i="3" s="1"/>
  <c r="E268" i="3" s="1"/>
  <c r="E269" i="3" s="1"/>
  <c r="E270" i="3" s="1"/>
  <c r="E271" i="3" s="1"/>
  <c r="E272" i="3" s="1"/>
  <c r="E273" i="3" s="1"/>
  <c r="E274" i="3" s="1"/>
  <c r="E275" i="3" s="1"/>
  <c r="E276" i="3" s="1"/>
  <c r="E277" i="3" s="1"/>
  <c r="E278" i="3" s="1"/>
  <c r="E279" i="3" s="1"/>
  <c r="E280" i="3" s="1"/>
  <c r="E281" i="3" s="1"/>
  <c r="E282" i="3" s="1"/>
  <c r="E283" i="3" s="1"/>
  <c r="E284" i="3" s="1"/>
  <c r="E285" i="3" s="1"/>
  <c r="E286" i="3" s="1"/>
  <c r="E287" i="3" s="1"/>
  <c r="E288" i="3" s="1"/>
  <c r="E289" i="3" s="1"/>
  <c r="E290" i="3" s="1"/>
  <c r="E291" i="3" s="1"/>
  <c r="E292" i="3" s="1"/>
  <c r="E293" i="3" s="1"/>
  <c r="E294" i="3" s="1"/>
  <c r="E295" i="3" s="1"/>
  <c r="E296" i="3" s="1"/>
  <c r="E297" i="3" s="1"/>
  <c r="E298" i="3" s="1"/>
  <c r="E299" i="3" s="1"/>
  <c r="E300" i="3" s="1"/>
  <c r="E301" i="3" s="1"/>
  <c r="D253" i="3"/>
  <c r="D254" i="3" s="1"/>
  <c r="D255" i="3" s="1"/>
  <c r="D256" i="3" s="1"/>
  <c r="D257" i="3" s="1"/>
  <c r="D258" i="3" s="1"/>
  <c r="D259" i="3" s="1"/>
  <c r="D260" i="3" s="1"/>
  <c r="D261" i="3" s="1"/>
  <c r="D262" i="3" s="1"/>
  <c r="D263" i="3" s="1"/>
  <c r="D264" i="3" s="1"/>
  <c r="D265" i="3" s="1"/>
  <c r="D266" i="3" s="1"/>
  <c r="D267" i="3" s="1"/>
  <c r="D268" i="3" s="1"/>
  <c r="D269" i="3" s="1"/>
  <c r="D270" i="3" s="1"/>
  <c r="D271" i="3" s="1"/>
  <c r="D272" i="3" s="1"/>
  <c r="D273" i="3" s="1"/>
  <c r="D274" i="3" s="1"/>
  <c r="D275" i="3" s="1"/>
  <c r="D276" i="3" s="1"/>
  <c r="D277" i="3" s="1"/>
  <c r="D278" i="3" s="1"/>
  <c r="D279" i="3" s="1"/>
  <c r="D280" i="3" s="1"/>
  <c r="D281" i="3" s="1"/>
  <c r="D282" i="3" s="1"/>
  <c r="D283" i="3" s="1"/>
  <c r="D284" i="3" s="1"/>
  <c r="D285" i="3" s="1"/>
  <c r="D286" i="3" s="1"/>
  <c r="D287" i="3" s="1"/>
  <c r="D288" i="3" s="1"/>
  <c r="D289" i="3" s="1"/>
  <c r="D290" i="3" s="1"/>
  <c r="D291" i="3" s="1"/>
  <c r="D292" i="3" s="1"/>
  <c r="D293" i="3" s="1"/>
  <c r="D294" i="3" s="1"/>
  <c r="D295" i="3" s="1"/>
  <c r="D296" i="3" s="1"/>
  <c r="D297" i="3" s="1"/>
  <c r="D298" i="3" s="1"/>
  <c r="D299" i="3" s="1"/>
  <c r="D300" i="3" s="1"/>
  <c r="D301" i="3" s="1"/>
  <c r="C253" i="3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83" i="3" s="1"/>
  <c r="C284" i="3" s="1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C298" i="3" s="1"/>
  <c r="C299" i="3" s="1"/>
  <c r="C300" i="3" s="1"/>
  <c r="C301" i="3" s="1"/>
  <c r="A301" i="3" s="1"/>
  <c r="F252" i="3"/>
  <c r="G252" i="3" s="1"/>
  <c r="J203" i="3"/>
  <c r="J204" i="3" s="1"/>
  <c r="E203" i="3"/>
  <c r="E204" i="3" s="1"/>
  <c r="E205" i="3" s="1"/>
  <c r="E206" i="3" s="1"/>
  <c r="E207" i="3" s="1"/>
  <c r="E208" i="3" s="1"/>
  <c r="E209" i="3" s="1"/>
  <c r="E210" i="3" s="1"/>
  <c r="E211" i="3" s="1"/>
  <c r="E212" i="3" s="1"/>
  <c r="E213" i="3" s="1"/>
  <c r="E214" i="3" s="1"/>
  <c r="E215" i="3" s="1"/>
  <c r="E216" i="3" s="1"/>
  <c r="E217" i="3" s="1"/>
  <c r="E218" i="3" s="1"/>
  <c r="E219" i="3" s="1"/>
  <c r="E220" i="3" s="1"/>
  <c r="E221" i="3" s="1"/>
  <c r="E222" i="3" s="1"/>
  <c r="E223" i="3" s="1"/>
  <c r="E224" i="3" s="1"/>
  <c r="E225" i="3" s="1"/>
  <c r="E226" i="3" s="1"/>
  <c r="E227" i="3" s="1"/>
  <c r="E228" i="3" s="1"/>
  <c r="E229" i="3" s="1"/>
  <c r="E230" i="3" s="1"/>
  <c r="E231" i="3" s="1"/>
  <c r="E232" i="3" s="1"/>
  <c r="E233" i="3" s="1"/>
  <c r="E234" i="3" s="1"/>
  <c r="E235" i="3" s="1"/>
  <c r="E236" i="3" s="1"/>
  <c r="E237" i="3" s="1"/>
  <c r="E238" i="3" s="1"/>
  <c r="E239" i="3" s="1"/>
  <c r="E240" i="3" s="1"/>
  <c r="E241" i="3" s="1"/>
  <c r="E242" i="3" s="1"/>
  <c r="E243" i="3" s="1"/>
  <c r="E244" i="3" s="1"/>
  <c r="E245" i="3" s="1"/>
  <c r="E246" i="3" s="1"/>
  <c r="E247" i="3" s="1"/>
  <c r="E248" i="3" s="1"/>
  <c r="E249" i="3" s="1"/>
  <c r="E250" i="3" s="1"/>
  <c r="E251" i="3" s="1"/>
  <c r="D203" i="3"/>
  <c r="D204" i="3" s="1"/>
  <c r="D205" i="3" s="1"/>
  <c r="D206" i="3" s="1"/>
  <c r="D207" i="3" s="1"/>
  <c r="D208" i="3" s="1"/>
  <c r="D209" i="3" s="1"/>
  <c r="D210" i="3" s="1"/>
  <c r="D211" i="3" s="1"/>
  <c r="D212" i="3" s="1"/>
  <c r="D213" i="3" s="1"/>
  <c r="D214" i="3" s="1"/>
  <c r="D215" i="3" s="1"/>
  <c r="D216" i="3" s="1"/>
  <c r="D217" i="3" s="1"/>
  <c r="D218" i="3" s="1"/>
  <c r="D219" i="3" s="1"/>
  <c r="D220" i="3" s="1"/>
  <c r="D221" i="3" s="1"/>
  <c r="D222" i="3" s="1"/>
  <c r="D223" i="3" s="1"/>
  <c r="D224" i="3" s="1"/>
  <c r="D225" i="3" s="1"/>
  <c r="D226" i="3" s="1"/>
  <c r="D227" i="3" s="1"/>
  <c r="D228" i="3" s="1"/>
  <c r="D229" i="3" s="1"/>
  <c r="D230" i="3" s="1"/>
  <c r="D231" i="3" s="1"/>
  <c r="D232" i="3" s="1"/>
  <c r="D233" i="3" s="1"/>
  <c r="D234" i="3" s="1"/>
  <c r="D235" i="3" s="1"/>
  <c r="D236" i="3" s="1"/>
  <c r="D237" i="3" s="1"/>
  <c r="D238" i="3" s="1"/>
  <c r="D239" i="3" s="1"/>
  <c r="D240" i="3" s="1"/>
  <c r="D241" i="3" s="1"/>
  <c r="D242" i="3" s="1"/>
  <c r="D243" i="3" s="1"/>
  <c r="D244" i="3" s="1"/>
  <c r="D245" i="3" s="1"/>
  <c r="D246" i="3" s="1"/>
  <c r="D247" i="3" s="1"/>
  <c r="D248" i="3" s="1"/>
  <c r="D249" i="3" s="1"/>
  <c r="D250" i="3" s="1"/>
  <c r="D251" i="3" s="1"/>
  <c r="C203" i="3"/>
  <c r="A203" i="3" s="1"/>
  <c r="F202" i="3"/>
  <c r="G202" i="3" s="1"/>
  <c r="J153" i="3"/>
  <c r="J154" i="3" s="1"/>
  <c r="E153" i="3"/>
  <c r="E154" i="3" s="1"/>
  <c r="E155" i="3" s="1"/>
  <c r="E156" i="3" s="1"/>
  <c r="E157" i="3" s="1"/>
  <c r="E158" i="3" s="1"/>
  <c r="E159" i="3" s="1"/>
  <c r="E160" i="3" s="1"/>
  <c r="E161" i="3" s="1"/>
  <c r="E162" i="3" s="1"/>
  <c r="E163" i="3" s="1"/>
  <c r="E164" i="3" s="1"/>
  <c r="E165" i="3" s="1"/>
  <c r="E166" i="3" s="1"/>
  <c r="E167" i="3" s="1"/>
  <c r="E168" i="3" s="1"/>
  <c r="E169" i="3" s="1"/>
  <c r="E170" i="3" s="1"/>
  <c r="E171" i="3" s="1"/>
  <c r="E172" i="3" s="1"/>
  <c r="E173" i="3" s="1"/>
  <c r="E174" i="3" s="1"/>
  <c r="E175" i="3" s="1"/>
  <c r="E176" i="3" s="1"/>
  <c r="E177" i="3" s="1"/>
  <c r="E178" i="3" s="1"/>
  <c r="E179" i="3" s="1"/>
  <c r="E180" i="3" s="1"/>
  <c r="E181" i="3" s="1"/>
  <c r="E182" i="3" s="1"/>
  <c r="E183" i="3" s="1"/>
  <c r="E184" i="3" s="1"/>
  <c r="E185" i="3" s="1"/>
  <c r="E186" i="3" s="1"/>
  <c r="E187" i="3" s="1"/>
  <c r="E188" i="3" s="1"/>
  <c r="E189" i="3" s="1"/>
  <c r="E190" i="3" s="1"/>
  <c r="E191" i="3" s="1"/>
  <c r="E192" i="3" s="1"/>
  <c r="E193" i="3" s="1"/>
  <c r="E194" i="3" s="1"/>
  <c r="E195" i="3" s="1"/>
  <c r="E196" i="3" s="1"/>
  <c r="E197" i="3" s="1"/>
  <c r="E198" i="3" s="1"/>
  <c r="E199" i="3" s="1"/>
  <c r="E200" i="3" s="1"/>
  <c r="E201" i="3" s="1"/>
  <c r="D153" i="3"/>
  <c r="D154" i="3" s="1"/>
  <c r="D155" i="3" s="1"/>
  <c r="D156" i="3" s="1"/>
  <c r="D157" i="3" s="1"/>
  <c r="D158" i="3" s="1"/>
  <c r="D159" i="3" s="1"/>
  <c r="D160" i="3" s="1"/>
  <c r="D161" i="3" s="1"/>
  <c r="D162" i="3" s="1"/>
  <c r="D163" i="3" s="1"/>
  <c r="D164" i="3" s="1"/>
  <c r="D165" i="3" s="1"/>
  <c r="D166" i="3" s="1"/>
  <c r="D167" i="3" s="1"/>
  <c r="D168" i="3" s="1"/>
  <c r="D169" i="3" s="1"/>
  <c r="D170" i="3" s="1"/>
  <c r="D171" i="3" s="1"/>
  <c r="D172" i="3" s="1"/>
  <c r="D173" i="3" s="1"/>
  <c r="D174" i="3" s="1"/>
  <c r="D175" i="3" s="1"/>
  <c r="D176" i="3" s="1"/>
  <c r="D177" i="3" s="1"/>
  <c r="D178" i="3" s="1"/>
  <c r="D179" i="3" s="1"/>
  <c r="D180" i="3" s="1"/>
  <c r="D181" i="3" s="1"/>
  <c r="D182" i="3" s="1"/>
  <c r="D183" i="3" s="1"/>
  <c r="D184" i="3" s="1"/>
  <c r="D185" i="3" s="1"/>
  <c r="D186" i="3" s="1"/>
  <c r="D187" i="3" s="1"/>
  <c r="D188" i="3" s="1"/>
  <c r="D189" i="3" s="1"/>
  <c r="D190" i="3" s="1"/>
  <c r="D191" i="3" s="1"/>
  <c r="D192" i="3" s="1"/>
  <c r="D193" i="3" s="1"/>
  <c r="D194" i="3" s="1"/>
  <c r="D195" i="3" s="1"/>
  <c r="D196" i="3" s="1"/>
  <c r="D197" i="3" s="1"/>
  <c r="D198" i="3" s="1"/>
  <c r="D199" i="3" s="1"/>
  <c r="D200" i="3" s="1"/>
  <c r="D201" i="3" s="1"/>
  <c r="C153" i="3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A201" i="3" s="1"/>
  <c r="F152" i="3"/>
  <c r="G152" i="3" s="1"/>
  <c r="J103" i="3"/>
  <c r="J104" i="3" s="1"/>
  <c r="E103" i="3"/>
  <c r="E104" i="3" s="1"/>
  <c r="E105" i="3" s="1"/>
  <c r="E106" i="3" s="1"/>
  <c r="E107" i="3" s="1"/>
  <c r="E108" i="3" s="1"/>
  <c r="E109" i="3" s="1"/>
  <c r="E110" i="3" s="1"/>
  <c r="E111" i="3" s="1"/>
  <c r="E112" i="3" s="1"/>
  <c r="E113" i="3" s="1"/>
  <c r="E114" i="3" s="1"/>
  <c r="E115" i="3" s="1"/>
  <c r="E116" i="3" s="1"/>
  <c r="E117" i="3" s="1"/>
  <c r="E118" i="3" s="1"/>
  <c r="E119" i="3" s="1"/>
  <c r="E120" i="3" s="1"/>
  <c r="E121" i="3" s="1"/>
  <c r="E122" i="3" s="1"/>
  <c r="E123" i="3" s="1"/>
  <c r="E124" i="3" s="1"/>
  <c r="E125" i="3" s="1"/>
  <c r="E126" i="3" s="1"/>
  <c r="E127" i="3" s="1"/>
  <c r="E128" i="3" s="1"/>
  <c r="E129" i="3" s="1"/>
  <c r="E130" i="3" s="1"/>
  <c r="E131" i="3" s="1"/>
  <c r="E132" i="3" s="1"/>
  <c r="E133" i="3" s="1"/>
  <c r="E134" i="3" s="1"/>
  <c r="E135" i="3" s="1"/>
  <c r="E136" i="3" s="1"/>
  <c r="E137" i="3" s="1"/>
  <c r="E138" i="3" s="1"/>
  <c r="E139" i="3" s="1"/>
  <c r="E140" i="3" s="1"/>
  <c r="E141" i="3" s="1"/>
  <c r="E142" i="3" s="1"/>
  <c r="E143" i="3" s="1"/>
  <c r="E144" i="3" s="1"/>
  <c r="E145" i="3" s="1"/>
  <c r="E146" i="3" s="1"/>
  <c r="E147" i="3" s="1"/>
  <c r="E148" i="3" s="1"/>
  <c r="E149" i="3" s="1"/>
  <c r="E150" i="3" s="1"/>
  <c r="E151" i="3" s="1"/>
  <c r="D103" i="3"/>
  <c r="D104" i="3" s="1"/>
  <c r="D105" i="3" s="1"/>
  <c r="D106" i="3" s="1"/>
  <c r="D107" i="3" s="1"/>
  <c r="D108" i="3" s="1"/>
  <c r="D109" i="3" s="1"/>
  <c r="D110" i="3" s="1"/>
  <c r="D111" i="3" s="1"/>
  <c r="D112" i="3" s="1"/>
  <c r="D113" i="3" s="1"/>
  <c r="D114" i="3" s="1"/>
  <c r="D115" i="3" s="1"/>
  <c r="D116" i="3" s="1"/>
  <c r="D117" i="3" s="1"/>
  <c r="D118" i="3" s="1"/>
  <c r="D119" i="3" s="1"/>
  <c r="D120" i="3" s="1"/>
  <c r="D121" i="3" s="1"/>
  <c r="D122" i="3" s="1"/>
  <c r="D123" i="3" s="1"/>
  <c r="D124" i="3" s="1"/>
  <c r="D125" i="3" s="1"/>
  <c r="D126" i="3" s="1"/>
  <c r="D127" i="3" s="1"/>
  <c r="D128" i="3" s="1"/>
  <c r="D129" i="3" s="1"/>
  <c r="D130" i="3" s="1"/>
  <c r="D131" i="3" s="1"/>
  <c r="D132" i="3" s="1"/>
  <c r="D133" i="3" s="1"/>
  <c r="D134" i="3" s="1"/>
  <c r="D135" i="3" s="1"/>
  <c r="D136" i="3" s="1"/>
  <c r="D137" i="3" s="1"/>
  <c r="D138" i="3" s="1"/>
  <c r="D139" i="3" s="1"/>
  <c r="D140" i="3" s="1"/>
  <c r="D141" i="3" s="1"/>
  <c r="D142" i="3" s="1"/>
  <c r="D143" i="3" s="1"/>
  <c r="D144" i="3" s="1"/>
  <c r="D145" i="3" s="1"/>
  <c r="D146" i="3" s="1"/>
  <c r="D147" i="3" s="1"/>
  <c r="D148" i="3" s="1"/>
  <c r="D149" i="3" s="1"/>
  <c r="D150" i="3" s="1"/>
  <c r="D151" i="3" s="1"/>
  <c r="C103" i="3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A151" i="3" s="1"/>
  <c r="F102" i="3"/>
  <c r="G102" i="3" s="1"/>
  <c r="J53" i="3"/>
  <c r="J54" i="3" s="1"/>
  <c r="E53" i="3"/>
  <c r="E54" i="3" s="1"/>
  <c r="E55" i="3" s="1"/>
  <c r="E56" i="3" s="1"/>
  <c r="E57" i="3" s="1"/>
  <c r="E58" i="3" s="1"/>
  <c r="E59" i="3" s="1"/>
  <c r="E60" i="3" s="1"/>
  <c r="E61" i="3" s="1"/>
  <c r="E62" i="3" s="1"/>
  <c r="E63" i="3" s="1"/>
  <c r="E64" i="3" s="1"/>
  <c r="E65" i="3" s="1"/>
  <c r="E66" i="3" s="1"/>
  <c r="E67" i="3" s="1"/>
  <c r="E68" i="3" s="1"/>
  <c r="E69" i="3" s="1"/>
  <c r="E70" i="3" s="1"/>
  <c r="E71" i="3" s="1"/>
  <c r="E72" i="3" s="1"/>
  <c r="E73" i="3" s="1"/>
  <c r="E74" i="3" s="1"/>
  <c r="E75" i="3" s="1"/>
  <c r="E76" i="3" s="1"/>
  <c r="E77" i="3" s="1"/>
  <c r="E78" i="3" s="1"/>
  <c r="E79" i="3" s="1"/>
  <c r="E80" i="3" s="1"/>
  <c r="E81" i="3" s="1"/>
  <c r="E82" i="3" s="1"/>
  <c r="E83" i="3" s="1"/>
  <c r="E84" i="3" s="1"/>
  <c r="E85" i="3" s="1"/>
  <c r="E86" i="3" s="1"/>
  <c r="E87" i="3" s="1"/>
  <c r="E88" i="3" s="1"/>
  <c r="E89" i="3" s="1"/>
  <c r="E90" i="3" s="1"/>
  <c r="E91" i="3" s="1"/>
  <c r="E92" i="3" s="1"/>
  <c r="E93" i="3" s="1"/>
  <c r="E94" i="3" s="1"/>
  <c r="E95" i="3" s="1"/>
  <c r="E96" i="3" s="1"/>
  <c r="E97" i="3" s="1"/>
  <c r="E98" i="3" s="1"/>
  <c r="E99" i="3" s="1"/>
  <c r="E100" i="3" s="1"/>
  <c r="E101" i="3" s="1"/>
  <c r="D53" i="3"/>
  <c r="D54" i="3" s="1"/>
  <c r="D55" i="3" s="1"/>
  <c r="D56" i="3" s="1"/>
  <c r="D57" i="3" s="1"/>
  <c r="D58" i="3" s="1"/>
  <c r="D59" i="3" s="1"/>
  <c r="D60" i="3" s="1"/>
  <c r="D61" i="3" s="1"/>
  <c r="D62" i="3" s="1"/>
  <c r="D63" i="3" s="1"/>
  <c r="D64" i="3" s="1"/>
  <c r="D65" i="3" s="1"/>
  <c r="D66" i="3" s="1"/>
  <c r="D67" i="3" s="1"/>
  <c r="D68" i="3" s="1"/>
  <c r="D69" i="3" s="1"/>
  <c r="D70" i="3" s="1"/>
  <c r="D71" i="3" s="1"/>
  <c r="D72" i="3" s="1"/>
  <c r="D73" i="3" s="1"/>
  <c r="D74" i="3" s="1"/>
  <c r="D75" i="3" s="1"/>
  <c r="D76" i="3" s="1"/>
  <c r="D77" i="3" s="1"/>
  <c r="D78" i="3" s="1"/>
  <c r="D79" i="3" s="1"/>
  <c r="D80" i="3" s="1"/>
  <c r="D81" i="3" s="1"/>
  <c r="D82" i="3" s="1"/>
  <c r="D83" i="3" s="1"/>
  <c r="D84" i="3" s="1"/>
  <c r="D85" i="3" s="1"/>
  <c r="D86" i="3" s="1"/>
  <c r="D87" i="3" s="1"/>
  <c r="D88" i="3" s="1"/>
  <c r="D89" i="3" s="1"/>
  <c r="D90" i="3" s="1"/>
  <c r="D91" i="3" s="1"/>
  <c r="D92" i="3" s="1"/>
  <c r="D93" i="3" s="1"/>
  <c r="D94" i="3" s="1"/>
  <c r="D95" i="3" s="1"/>
  <c r="D96" i="3" s="1"/>
  <c r="D97" i="3" s="1"/>
  <c r="D98" i="3" s="1"/>
  <c r="D99" i="3" s="1"/>
  <c r="D100" i="3" s="1"/>
  <c r="D101" i="3" s="1"/>
  <c r="C53" i="3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A101" i="3" s="1"/>
  <c r="F52" i="3"/>
  <c r="G52" i="3" s="1"/>
  <c r="J4" i="3"/>
  <c r="F4" i="3" s="1"/>
  <c r="G4" i="3" s="1"/>
  <c r="J5" i="3"/>
  <c r="J6" i="3" s="1"/>
  <c r="J3" i="3"/>
  <c r="F3" i="3" s="1"/>
  <c r="G3" i="3" s="1"/>
  <c r="C3" i="3"/>
  <c r="A3" i="3" s="1"/>
  <c r="E3" i="3"/>
  <c r="E4" i="3" s="1"/>
  <c r="E5" i="3" s="1"/>
  <c r="E6" i="3" s="1"/>
  <c r="E7" i="3" s="1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E22" i="3" s="1"/>
  <c r="E23" i="3" s="1"/>
  <c r="E24" i="3" s="1"/>
  <c r="E25" i="3" s="1"/>
  <c r="E26" i="3" s="1"/>
  <c r="E27" i="3" s="1"/>
  <c r="E28" i="3" s="1"/>
  <c r="E29" i="3" s="1"/>
  <c r="E30" i="3" s="1"/>
  <c r="E31" i="3" s="1"/>
  <c r="E32" i="3" s="1"/>
  <c r="E33" i="3" s="1"/>
  <c r="E34" i="3" s="1"/>
  <c r="E35" i="3" s="1"/>
  <c r="E36" i="3" s="1"/>
  <c r="E37" i="3" s="1"/>
  <c r="E38" i="3" s="1"/>
  <c r="E39" i="3" s="1"/>
  <c r="E40" i="3" s="1"/>
  <c r="E41" i="3" s="1"/>
  <c r="E42" i="3" s="1"/>
  <c r="E43" i="3" s="1"/>
  <c r="E44" i="3" s="1"/>
  <c r="E45" i="3" s="1"/>
  <c r="E46" i="3" s="1"/>
  <c r="E47" i="3" s="1"/>
  <c r="E48" i="3" s="1"/>
  <c r="E49" i="3" s="1"/>
  <c r="E50" i="3" s="1"/>
  <c r="E51" i="3" s="1"/>
  <c r="D3" i="3"/>
  <c r="D4" i="3" s="1"/>
  <c r="D5" i="3" s="1"/>
  <c r="D6" i="3" s="1"/>
  <c r="D7" i="3" s="1"/>
  <c r="D8" i="3" s="1"/>
  <c r="D9" i="3" s="1"/>
  <c r="D10" i="3" s="1"/>
  <c r="D11" i="3" s="1"/>
  <c r="D12" i="3" s="1"/>
  <c r="D13" i="3" s="1"/>
  <c r="D14" i="3" s="1"/>
  <c r="D15" i="3" s="1"/>
  <c r="D16" i="3" s="1"/>
  <c r="D17" i="3" s="1"/>
  <c r="D18" i="3" s="1"/>
  <c r="D19" i="3" s="1"/>
  <c r="D20" i="3" s="1"/>
  <c r="D21" i="3" s="1"/>
  <c r="D22" i="3" s="1"/>
  <c r="D23" i="3" s="1"/>
  <c r="D24" i="3" s="1"/>
  <c r="D25" i="3" s="1"/>
  <c r="D26" i="3" s="1"/>
  <c r="D27" i="3" s="1"/>
  <c r="D28" i="3" s="1"/>
  <c r="D29" i="3" s="1"/>
  <c r="D30" i="3" s="1"/>
  <c r="D31" i="3" s="1"/>
  <c r="D32" i="3" s="1"/>
  <c r="D33" i="3" s="1"/>
  <c r="D34" i="3" s="1"/>
  <c r="D35" i="3" s="1"/>
  <c r="D36" i="3" s="1"/>
  <c r="D37" i="3" s="1"/>
  <c r="D38" i="3" s="1"/>
  <c r="D39" i="3" s="1"/>
  <c r="D40" i="3" s="1"/>
  <c r="D41" i="3" s="1"/>
  <c r="D42" i="3" s="1"/>
  <c r="D43" i="3" s="1"/>
  <c r="D44" i="3" s="1"/>
  <c r="D45" i="3" s="1"/>
  <c r="D46" i="3" s="1"/>
  <c r="D47" i="3" s="1"/>
  <c r="D48" i="3" s="1"/>
  <c r="D49" i="3" s="1"/>
  <c r="D50" i="3" s="1"/>
  <c r="D51" i="3" s="1"/>
  <c r="F2" i="3"/>
  <c r="G2" i="3" s="1"/>
  <c r="A297" i="3" l="1"/>
  <c r="A289" i="3"/>
  <c r="A281" i="3"/>
  <c r="A273" i="3"/>
  <c r="A265" i="3"/>
  <c r="A257" i="3"/>
  <c r="A193" i="3"/>
  <c r="A185" i="3"/>
  <c r="A177" i="3"/>
  <c r="A169" i="3"/>
  <c r="A161" i="3"/>
  <c r="A153" i="3"/>
  <c r="A145" i="3"/>
  <c r="A137" i="3"/>
  <c r="A129" i="3"/>
  <c r="A121" i="3"/>
  <c r="A113" i="3"/>
  <c r="A105" i="3"/>
  <c r="A97" i="3"/>
  <c r="A89" i="3"/>
  <c r="A81" i="3"/>
  <c r="A73" i="3"/>
  <c r="A65" i="3"/>
  <c r="A57" i="3"/>
  <c r="A348" i="3"/>
  <c r="A340" i="3"/>
  <c r="A332" i="3"/>
  <c r="A324" i="3"/>
  <c r="A316" i="3"/>
  <c r="A308" i="3"/>
  <c r="A282" i="3"/>
  <c r="A138" i="3"/>
  <c r="A122" i="3"/>
  <c r="A106" i="3"/>
  <c r="A296" i="3"/>
  <c r="A288" i="3"/>
  <c r="A280" i="3"/>
  <c r="A272" i="3"/>
  <c r="A264" i="3"/>
  <c r="A256" i="3"/>
  <c r="A200" i="3"/>
  <c r="A192" i="3"/>
  <c r="A184" i="3"/>
  <c r="A176" i="3"/>
  <c r="A168" i="3"/>
  <c r="A160" i="3"/>
  <c r="A144" i="3"/>
  <c r="A136" i="3"/>
  <c r="A128" i="3"/>
  <c r="A120" i="3"/>
  <c r="A112" i="3"/>
  <c r="A104" i="3"/>
  <c r="A96" i="3"/>
  <c r="A88" i="3"/>
  <c r="A80" i="3"/>
  <c r="A72" i="3"/>
  <c r="A64" i="3"/>
  <c r="A56" i="3"/>
  <c r="A295" i="3"/>
  <c r="A287" i="3"/>
  <c r="A279" i="3"/>
  <c r="A271" i="3"/>
  <c r="A263" i="3"/>
  <c r="A255" i="3"/>
  <c r="A199" i="3"/>
  <c r="A191" i="3"/>
  <c r="A183" i="3"/>
  <c r="A175" i="3"/>
  <c r="A167" i="3"/>
  <c r="A159" i="3"/>
  <c r="A143" i="3"/>
  <c r="A135" i="3"/>
  <c r="A127" i="3"/>
  <c r="A119" i="3"/>
  <c r="A111" i="3"/>
  <c r="A103" i="3"/>
  <c r="A95" i="3"/>
  <c r="A87" i="3"/>
  <c r="A79" i="3"/>
  <c r="A71" i="3"/>
  <c r="A63" i="3"/>
  <c r="A55" i="3"/>
  <c r="A346" i="3"/>
  <c r="A338" i="3"/>
  <c r="A330" i="3"/>
  <c r="A322" i="3"/>
  <c r="A314" i="3"/>
  <c r="A306" i="3"/>
  <c r="A290" i="3"/>
  <c r="A258" i="3"/>
  <c r="A294" i="3"/>
  <c r="A286" i="3"/>
  <c r="A278" i="3"/>
  <c r="A270" i="3"/>
  <c r="A262" i="3"/>
  <c r="A254" i="3"/>
  <c r="A198" i="3"/>
  <c r="A190" i="3"/>
  <c r="A182" i="3"/>
  <c r="A174" i="3"/>
  <c r="A166" i="3"/>
  <c r="A158" i="3"/>
  <c r="A150" i="3"/>
  <c r="A142" i="3"/>
  <c r="A134" i="3"/>
  <c r="A126" i="3"/>
  <c r="A118" i="3"/>
  <c r="A110" i="3"/>
  <c r="A94" i="3"/>
  <c r="A86" i="3"/>
  <c r="A78" i="3"/>
  <c r="A70" i="3"/>
  <c r="A62" i="3"/>
  <c r="A54" i="3"/>
  <c r="A345" i="3"/>
  <c r="A337" i="3"/>
  <c r="A329" i="3"/>
  <c r="A321" i="3"/>
  <c r="A313" i="3"/>
  <c r="A305" i="3"/>
  <c r="A266" i="3"/>
  <c r="A293" i="3"/>
  <c r="A285" i="3"/>
  <c r="A277" i="3"/>
  <c r="A269" i="3"/>
  <c r="A261" i="3"/>
  <c r="A253" i="3"/>
  <c r="A197" i="3"/>
  <c r="A189" i="3"/>
  <c r="A181" i="3"/>
  <c r="A173" i="3"/>
  <c r="A165" i="3"/>
  <c r="A157" i="3"/>
  <c r="A149" i="3"/>
  <c r="A141" i="3"/>
  <c r="A133" i="3"/>
  <c r="A125" i="3"/>
  <c r="A117" i="3"/>
  <c r="A109" i="3"/>
  <c r="A93" i="3"/>
  <c r="A85" i="3"/>
  <c r="A77" i="3"/>
  <c r="A69" i="3"/>
  <c r="A61" i="3"/>
  <c r="A53" i="3"/>
  <c r="A298" i="3"/>
  <c r="C4" i="3"/>
  <c r="C204" i="3"/>
  <c r="A300" i="3"/>
  <c r="A292" i="3"/>
  <c r="A284" i="3"/>
  <c r="A276" i="3"/>
  <c r="A268" i="3"/>
  <c r="A260" i="3"/>
  <c r="A196" i="3"/>
  <c r="A188" i="3"/>
  <c r="A180" i="3"/>
  <c r="A172" i="3"/>
  <c r="A164" i="3"/>
  <c r="A156" i="3"/>
  <c r="A148" i="3"/>
  <c r="A140" i="3"/>
  <c r="A132" i="3"/>
  <c r="A124" i="3"/>
  <c r="A116" i="3"/>
  <c r="A108" i="3"/>
  <c r="A100" i="3"/>
  <c r="A92" i="3"/>
  <c r="A84" i="3"/>
  <c r="A76" i="3"/>
  <c r="A68" i="3"/>
  <c r="A60" i="3"/>
  <c r="A274" i="3"/>
  <c r="A146" i="3"/>
  <c r="A130" i="3"/>
  <c r="A114" i="3"/>
  <c r="A98" i="3"/>
  <c r="A299" i="3"/>
  <c r="A291" i="3"/>
  <c r="A283" i="3"/>
  <c r="A275" i="3"/>
  <c r="A267" i="3"/>
  <c r="A259" i="3"/>
  <c r="A195" i="3"/>
  <c r="A187" i="3"/>
  <c r="A179" i="3"/>
  <c r="A171" i="3"/>
  <c r="A163" i="3"/>
  <c r="A155" i="3"/>
  <c r="A147" i="3"/>
  <c r="A139" i="3"/>
  <c r="A131" i="3"/>
  <c r="A123" i="3"/>
  <c r="A115" i="3"/>
  <c r="A107" i="3"/>
  <c r="A99" i="3"/>
  <c r="A91" i="3"/>
  <c r="A83" i="3"/>
  <c r="A75" i="3"/>
  <c r="A67" i="3"/>
  <c r="A59" i="3"/>
  <c r="J305" i="3"/>
  <c r="F304" i="3"/>
  <c r="G304" i="3" s="1"/>
  <c r="F303" i="3"/>
  <c r="G303" i="3" s="1"/>
  <c r="J255" i="3"/>
  <c r="F254" i="3"/>
  <c r="G254" i="3" s="1"/>
  <c r="F253" i="3"/>
  <c r="G253" i="3" s="1"/>
  <c r="J205" i="3"/>
  <c r="F204" i="3"/>
  <c r="G204" i="3" s="1"/>
  <c r="F203" i="3"/>
  <c r="G203" i="3" s="1"/>
  <c r="J155" i="3"/>
  <c r="F154" i="3"/>
  <c r="G154" i="3" s="1"/>
  <c r="F153" i="3"/>
  <c r="G153" i="3" s="1"/>
  <c r="F104" i="3"/>
  <c r="G104" i="3" s="1"/>
  <c r="J105" i="3"/>
  <c r="F103" i="3"/>
  <c r="G103" i="3" s="1"/>
  <c r="F54" i="3"/>
  <c r="G54" i="3" s="1"/>
  <c r="J55" i="3"/>
  <c r="F53" i="3"/>
  <c r="G53" i="3" s="1"/>
  <c r="F6" i="3"/>
  <c r="G6" i="3" s="1"/>
  <c r="J7" i="3"/>
  <c r="F5" i="3"/>
  <c r="G5" i="3" s="1"/>
  <c r="C205" i="3" l="1"/>
  <c r="A204" i="3"/>
  <c r="C5" i="3"/>
  <c r="A4" i="3"/>
  <c r="F305" i="3"/>
  <c r="G305" i="3" s="1"/>
  <c r="J306" i="3"/>
  <c r="J256" i="3"/>
  <c r="F255" i="3"/>
  <c r="G255" i="3" s="1"/>
  <c r="J206" i="3"/>
  <c r="F205" i="3"/>
  <c r="G205" i="3" s="1"/>
  <c r="J156" i="3"/>
  <c r="F155" i="3"/>
  <c r="G155" i="3" s="1"/>
  <c r="J106" i="3"/>
  <c r="F105" i="3"/>
  <c r="G105" i="3" s="1"/>
  <c r="F55" i="3"/>
  <c r="G55" i="3" s="1"/>
  <c r="J56" i="3"/>
  <c r="F7" i="3"/>
  <c r="G7" i="3" s="1"/>
  <c r="J8" i="3"/>
  <c r="C6" i="3" l="1"/>
  <c r="A5" i="3"/>
  <c r="C206" i="3"/>
  <c r="A205" i="3"/>
  <c r="J307" i="3"/>
  <c r="F306" i="3"/>
  <c r="G306" i="3" s="1"/>
  <c r="J257" i="3"/>
  <c r="F256" i="3"/>
  <c r="G256" i="3" s="1"/>
  <c r="J207" i="3"/>
  <c r="F206" i="3"/>
  <c r="G206" i="3" s="1"/>
  <c r="J157" i="3"/>
  <c r="F156" i="3"/>
  <c r="G156" i="3" s="1"/>
  <c r="F106" i="3"/>
  <c r="G106" i="3" s="1"/>
  <c r="J107" i="3"/>
  <c r="J57" i="3"/>
  <c r="F56" i="3"/>
  <c r="G56" i="3" s="1"/>
  <c r="F8" i="3"/>
  <c r="G8" i="3" s="1"/>
  <c r="J9" i="3"/>
  <c r="C7" i="3" l="1"/>
  <c r="A6" i="3"/>
  <c r="C207" i="3"/>
  <c r="A206" i="3"/>
  <c r="J308" i="3"/>
  <c r="F307" i="3"/>
  <c r="G307" i="3" s="1"/>
  <c r="J258" i="3"/>
  <c r="F257" i="3"/>
  <c r="G257" i="3" s="1"/>
  <c r="J208" i="3"/>
  <c r="F207" i="3"/>
  <c r="G207" i="3" s="1"/>
  <c r="J158" i="3"/>
  <c r="F157" i="3"/>
  <c r="G157" i="3" s="1"/>
  <c r="J108" i="3"/>
  <c r="F107" i="3"/>
  <c r="G107" i="3" s="1"/>
  <c r="J58" i="3"/>
  <c r="F57" i="3"/>
  <c r="G57" i="3" s="1"/>
  <c r="F9" i="3"/>
  <c r="G9" i="3" s="1"/>
  <c r="J10" i="3"/>
  <c r="C8" i="3" l="1"/>
  <c r="A7" i="3"/>
  <c r="C208" i="3"/>
  <c r="A207" i="3"/>
  <c r="J309" i="3"/>
  <c r="F308" i="3"/>
  <c r="G308" i="3" s="1"/>
  <c r="J259" i="3"/>
  <c r="F258" i="3"/>
  <c r="G258" i="3" s="1"/>
  <c r="J209" i="3"/>
  <c r="F208" i="3"/>
  <c r="G208" i="3" s="1"/>
  <c r="J159" i="3"/>
  <c r="F158" i="3"/>
  <c r="G158" i="3" s="1"/>
  <c r="F108" i="3"/>
  <c r="G108" i="3" s="1"/>
  <c r="J109" i="3"/>
  <c r="J59" i="3"/>
  <c r="F58" i="3"/>
  <c r="G58" i="3" s="1"/>
  <c r="F10" i="3"/>
  <c r="G10" i="3" s="1"/>
  <c r="J11" i="3"/>
  <c r="C9" i="3" l="1"/>
  <c r="A8" i="3"/>
  <c r="C209" i="3"/>
  <c r="A208" i="3"/>
  <c r="J310" i="3"/>
  <c r="F309" i="3"/>
  <c r="G309" i="3" s="1"/>
  <c r="J260" i="3"/>
  <c r="F259" i="3"/>
  <c r="G259" i="3" s="1"/>
  <c r="J210" i="3"/>
  <c r="F209" i="3"/>
  <c r="G209" i="3" s="1"/>
  <c r="J160" i="3"/>
  <c r="F159" i="3"/>
  <c r="G159" i="3" s="1"/>
  <c r="J110" i="3"/>
  <c r="F109" i="3"/>
  <c r="G109" i="3" s="1"/>
  <c r="J60" i="3"/>
  <c r="F59" i="3"/>
  <c r="G59" i="3" s="1"/>
  <c r="J12" i="3"/>
  <c r="F11" i="3"/>
  <c r="G11" i="3" s="1"/>
  <c r="C10" i="3" l="1"/>
  <c r="A9" i="3"/>
  <c r="C210" i="3"/>
  <c r="A209" i="3"/>
  <c r="J311" i="3"/>
  <c r="F310" i="3"/>
  <c r="G310" i="3" s="1"/>
  <c r="J261" i="3"/>
  <c r="F260" i="3"/>
  <c r="G260" i="3" s="1"/>
  <c r="J211" i="3"/>
  <c r="F210" i="3"/>
  <c r="G210" i="3" s="1"/>
  <c r="F160" i="3"/>
  <c r="G160" i="3" s="1"/>
  <c r="J161" i="3"/>
  <c r="F110" i="3"/>
  <c r="G110" i="3" s="1"/>
  <c r="J111" i="3"/>
  <c r="J61" i="3"/>
  <c r="F60" i="3"/>
  <c r="G60" i="3" s="1"/>
  <c r="J13" i="3"/>
  <c r="F12" i="3"/>
  <c r="G12" i="3" s="1"/>
  <c r="C11" i="3" l="1"/>
  <c r="A10" i="3"/>
  <c r="C211" i="3"/>
  <c r="A210" i="3"/>
  <c r="J312" i="3"/>
  <c r="F311" i="3"/>
  <c r="G311" i="3" s="1"/>
  <c r="J262" i="3"/>
  <c r="F261" i="3"/>
  <c r="G261" i="3" s="1"/>
  <c r="J212" i="3"/>
  <c r="F211" i="3"/>
  <c r="G211" i="3" s="1"/>
  <c r="J162" i="3"/>
  <c r="F161" i="3"/>
  <c r="G161" i="3" s="1"/>
  <c r="J112" i="3"/>
  <c r="F111" i="3"/>
  <c r="G111" i="3" s="1"/>
  <c r="J62" i="3"/>
  <c r="F61" i="3"/>
  <c r="G61" i="3" s="1"/>
  <c r="J14" i="3"/>
  <c r="F13" i="3"/>
  <c r="G13" i="3" s="1"/>
  <c r="C12" i="3" l="1"/>
  <c r="A11" i="3"/>
  <c r="C212" i="3"/>
  <c r="A211" i="3"/>
  <c r="J313" i="3"/>
  <c r="F312" i="3"/>
  <c r="G312" i="3" s="1"/>
  <c r="J263" i="3"/>
  <c r="F262" i="3"/>
  <c r="G262" i="3" s="1"/>
  <c r="J213" i="3"/>
  <c r="F212" i="3"/>
  <c r="G212" i="3" s="1"/>
  <c r="J163" i="3"/>
  <c r="F162" i="3"/>
  <c r="G162" i="3" s="1"/>
  <c r="F112" i="3"/>
  <c r="G112" i="3" s="1"/>
  <c r="J113" i="3"/>
  <c r="J63" i="3"/>
  <c r="F62" i="3"/>
  <c r="G62" i="3" s="1"/>
  <c r="F14" i="3"/>
  <c r="G14" i="3" s="1"/>
  <c r="J15" i="3"/>
  <c r="C13" i="3" l="1"/>
  <c r="A12" i="3"/>
  <c r="C213" i="3"/>
  <c r="A212" i="3"/>
  <c r="F313" i="3"/>
  <c r="G313" i="3" s="1"/>
  <c r="J314" i="3"/>
  <c r="F263" i="3"/>
  <c r="G263" i="3" s="1"/>
  <c r="J264" i="3"/>
  <c r="J214" i="3"/>
  <c r="F213" i="3"/>
  <c r="G213" i="3" s="1"/>
  <c r="J164" i="3"/>
  <c r="F163" i="3"/>
  <c r="G163" i="3" s="1"/>
  <c r="J114" i="3"/>
  <c r="F113" i="3"/>
  <c r="G113" i="3" s="1"/>
  <c r="F63" i="3"/>
  <c r="G63" i="3" s="1"/>
  <c r="J64" i="3"/>
  <c r="F15" i="3"/>
  <c r="G15" i="3" s="1"/>
  <c r="J16" i="3"/>
  <c r="C14" i="3" l="1"/>
  <c r="A13" i="3"/>
  <c r="C214" i="3"/>
  <c r="A213" i="3"/>
  <c r="J315" i="3"/>
  <c r="F314" i="3"/>
  <c r="G314" i="3" s="1"/>
  <c r="J265" i="3"/>
  <c r="F264" i="3"/>
  <c r="G264" i="3" s="1"/>
  <c r="J215" i="3"/>
  <c r="F214" i="3"/>
  <c r="G214" i="3" s="1"/>
  <c r="J165" i="3"/>
  <c r="F164" i="3"/>
  <c r="G164" i="3" s="1"/>
  <c r="J115" i="3"/>
  <c r="F114" i="3"/>
  <c r="G114" i="3" s="1"/>
  <c r="J65" i="3"/>
  <c r="F64" i="3"/>
  <c r="G64" i="3" s="1"/>
  <c r="F16" i="3"/>
  <c r="G16" i="3" s="1"/>
  <c r="J17" i="3"/>
  <c r="C15" i="3" l="1"/>
  <c r="A14" i="3"/>
  <c r="C215" i="3"/>
  <c r="A214" i="3"/>
  <c r="J316" i="3"/>
  <c r="F315" i="3"/>
  <c r="G315" i="3" s="1"/>
  <c r="J266" i="3"/>
  <c r="F265" i="3"/>
  <c r="G265" i="3" s="1"/>
  <c r="J216" i="3"/>
  <c r="F215" i="3"/>
  <c r="G215" i="3" s="1"/>
  <c r="J166" i="3"/>
  <c r="F165" i="3"/>
  <c r="G165" i="3" s="1"/>
  <c r="J116" i="3"/>
  <c r="F115" i="3"/>
  <c r="G115" i="3" s="1"/>
  <c r="J66" i="3"/>
  <c r="F65" i="3"/>
  <c r="G65" i="3" s="1"/>
  <c r="F17" i="3"/>
  <c r="G17" i="3" s="1"/>
  <c r="J18" i="3"/>
  <c r="C16" i="3" l="1"/>
  <c r="A15" i="3"/>
  <c r="C216" i="3"/>
  <c r="A215" i="3"/>
  <c r="J317" i="3"/>
  <c r="F316" i="3"/>
  <c r="G316" i="3" s="1"/>
  <c r="J267" i="3"/>
  <c r="F266" i="3"/>
  <c r="G266" i="3" s="1"/>
  <c r="J217" i="3"/>
  <c r="F216" i="3"/>
  <c r="G216" i="3" s="1"/>
  <c r="J167" i="3"/>
  <c r="F166" i="3"/>
  <c r="G166" i="3" s="1"/>
  <c r="F116" i="3"/>
  <c r="G116" i="3" s="1"/>
  <c r="J117" i="3"/>
  <c r="J67" i="3"/>
  <c r="F66" i="3"/>
  <c r="G66" i="3" s="1"/>
  <c r="F18" i="3"/>
  <c r="G18" i="3" s="1"/>
  <c r="J19" i="3"/>
  <c r="C17" i="3" l="1"/>
  <c r="A16" i="3"/>
  <c r="C217" i="3"/>
  <c r="A216" i="3"/>
  <c r="J318" i="3"/>
  <c r="F317" i="3"/>
  <c r="G317" i="3" s="1"/>
  <c r="F267" i="3"/>
  <c r="G267" i="3" s="1"/>
  <c r="J268" i="3"/>
  <c r="J218" i="3"/>
  <c r="F217" i="3"/>
  <c r="G217" i="3" s="1"/>
  <c r="J168" i="3"/>
  <c r="F167" i="3"/>
  <c r="G167" i="3" s="1"/>
  <c r="J118" i="3"/>
  <c r="F117" i="3"/>
  <c r="G117" i="3" s="1"/>
  <c r="F67" i="3"/>
  <c r="G67" i="3" s="1"/>
  <c r="J68" i="3"/>
  <c r="J20" i="3"/>
  <c r="F19" i="3"/>
  <c r="G19" i="3" s="1"/>
  <c r="C18" i="3" l="1"/>
  <c r="A17" i="3"/>
  <c r="C218" i="3"/>
  <c r="A217" i="3"/>
  <c r="J319" i="3"/>
  <c r="F318" i="3"/>
  <c r="G318" i="3" s="1"/>
  <c r="J269" i="3"/>
  <c r="F268" i="3"/>
  <c r="G268" i="3" s="1"/>
  <c r="J219" i="3"/>
  <c r="F218" i="3"/>
  <c r="G218" i="3" s="1"/>
  <c r="J169" i="3"/>
  <c r="F168" i="3"/>
  <c r="G168" i="3" s="1"/>
  <c r="J119" i="3"/>
  <c r="F118" i="3"/>
  <c r="G118" i="3" s="1"/>
  <c r="J69" i="3"/>
  <c r="F68" i="3"/>
  <c r="G68" i="3" s="1"/>
  <c r="F20" i="3"/>
  <c r="G20" i="3" s="1"/>
  <c r="J21" i="3"/>
  <c r="C219" i="3" l="1"/>
  <c r="A218" i="3"/>
  <c r="C19" i="3"/>
  <c r="A18" i="3"/>
  <c r="J320" i="3"/>
  <c r="F319" i="3"/>
  <c r="G319" i="3" s="1"/>
  <c r="J270" i="3"/>
  <c r="F269" i="3"/>
  <c r="G269" i="3" s="1"/>
  <c r="J220" i="3"/>
  <c r="F219" i="3"/>
  <c r="G219" i="3" s="1"/>
  <c r="J170" i="3"/>
  <c r="F169" i="3"/>
  <c r="G169" i="3" s="1"/>
  <c r="J120" i="3"/>
  <c r="F119" i="3"/>
  <c r="G119" i="3" s="1"/>
  <c r="J70" i="3"/>
  <c r="F69" i="3"/>
  <c r="G69" i="3" s="1"/>
  <c r="J22" i="3"/>
  <c r="F21" i="3"/>
  <c r="G21" i="3" s="1"/>
  <c r="C20" i="3" l="1"/>
  <c r="A19" i="3"/>
  <c r="C220" i="3"/>
  <c r="A219" i="3"/>
  <c r="J321" i="3"/>
  <c r="F320" i="3"/>
  <c r="G320" i="3" s="1"/>
  <c r="J271" i="3"/>
  <c r="F270" i="3"/>
  <c r="G270" i="3" s="1"/>
  <c r="J221" i="3"/>
  <c r="F220" i="3"/>
  <c r="G220" i="3" s="1"/>
  <c r="J171" i="3"/>
  <c r="F170" i="3"/>
  <c r="G170" i="3" s="1"/>
  <c r="F120" i="3"/>
  <c r="G120" i="3" s="1"/>
  <c r="J121" i="3"/>
  <c r="J71" i="3"/>
  <c r="F70" i="3"/>
  <c r="G70" i="3" s="1"/>
  <c r="F22" i="3"/>
  <c r="G22" i="3" s="1"/>
  <c r="J23" i="3"/>
  <c r="C221" i="3" l="1"/>
  <c r="A220" i="3"/>
  <c r="C21" i="3"/>
  <c r="A20" i="3"/>
  <c r="F321" i="3"/>
  <c r="G321" i="3" s="1"/>
  <c r="J322" i="3"/>
  <c r="J272" i="3"/>
  <c r="F271" i="3"/>
  <c r="G271" i="3" s="1"/>
  <c r="J222" i="3"/>
  <c r="F221" i="3"/>
  <c r="G221" i="3" s="1"/>
  <c r="J172" i="3"/>
  <c r="F171" i="3"/>
  <c r="G171" i="3" s="1"/>
  <c r="J122" i="3"/>
  <c r="F121" i="3"/>
  <c r="G121" i="3" s="1"/>
  <c r="J72" i="3"/>
  <c r="F71" i="3"/>
  <c r="G71" i="3" s="1"/>
  <c r="F23" i="3"/>
  <c r="G23" i="3" s="1"/>
  <c r="J24" i="3"/>
  <c r="C22" i="3" l="1"/>
  <c r="A21" i="3"/>
  <c r="C222" i="3"/>
  <c r="A221" i="3"/>
  <c r="J323" i="3"/>
  <c r="F322" i="3"/>
  <c r="G322" i="3" s="1"/>
  <c r="J273" i="3"/>
  <c r="F272" i="3"/>
  <c r="G272" i="3" s="1"/>
  <c r="J223" i="3"/>
  <c r="F222" i="3"/>
  <c r="G222" i="3" s="1"/>
  <c r="J173" i="3"/>
  <c r="F172" i="3"/>
  <c r="G172" i="3" s="1"/>
  <c r="J123" i="3"/>
  <c r="F122" i="3"/>
  <c r="G122" i="3" s="1"/>
  <c r="J73" i="3"/>
  <c r="F72" i="3"/>
  <c r="G72" i="3" s="1"/>
  <c r="F24" i="3"/>
  <c r="G24" i="3" s="1"/>
  <c r="J25" i="3"/>
  <c r="C223" i="3" l="1"/>
  <c r="A222" i="3"/>
  <c r="C23" i="3"/>
  <c r="A22" i="3"/>
  <c r="J324" i="3"/>
  <c r="F323" i="3"/>
  <c r="G323" i="3" s="1"/>
  <c r="J274" i="3"/>
  <c r="F273" i="3"/>
  <c r="G273" i="3" s="1"/>
  <c r="J224" i="3"/>
  <c r="F223" i="3"/>
  <c r="G223" i="3" s="1"/>
  <c r="J174" i="3"/>
  <c r="F173" i="3"/>
  <c r="G173" i="3" s="1"/>
  <c r="J124" i="3"/>
  <c r="F123" i="3"/>
  <c r="G123" i="3" s="1"/>
  <c r="J74" i="3"/>
  <c r="F73" i="3"/>
  <c r="G73" i="3" s="1"/>
  <c r="F25" i="3"/>
  <c r="G25" i="3" s="1"/>
  <c r="J26" i="3"/>
  <c r="C24" i="3" l="1"/>
  <c r="A23" i="3"/>
  <c r="C224" i="3"/>
  <c r="A223" i="3"/>
  <c r="J325" i="3"/>
  <c r="F324" i="3"/>
  <c r="G324" i="3" s="1"/>
  <c r="J275" i="3"/>
  <c r="F274" i="3"/>
  <c r="G274" i="3" s="1"/>
  <c r="J225" i="3"/>
  <c r="F224" i="3"/>
  <c r="G224" i="3" s="1"/>
  <c r="J175" i="3"/>
  <c r="F174" i="3"/>
  <c r="G174" i="3" s="1"/>
  <c r="F124" i="3"/>
  <c r="G124" i="3" s="1"/>
  <c r="J125" i="3"/>
  <c r="J75" i="3"/>
  <c r="F74" i="3"/>
  <c r="G74" i="3" s="1"/>
  <c r="F26" i="3"/>
  <c r="G26" i="3" s="1"/>
  <c r="J27" i="3"/>
  <c r="C225" i="3" l="1"/>
  <c r="A224" i="3"/>
  <c r="C25" i="3"/>
  <c r="A24" i="3"/>
  <c r="J326" i="3"/>
  <c r="F325" i="3"/>
  <c r="G325" i="3" s="1"/>
  <c r="J276" i="3"/>
  <c r="F275" i="3"/>
  <c r="G275" i="3" s="1"/>
  <c r="J226" i="3"/>
  <c r="F225" i="3"/>
  <c r="G225" i="3" s="1"/>
  <c r="J176" i="3"/>
  <c r="F175" i="3"/>
  <c r="G175" i="3" s="1"/>
  <c r="J126" i="3"/>
  <c r="F125" i="3"/>
  <c r="G125" i="3" s="1"/>
  <c r="J76" i="3"/>
  <c r="F75" i="3"/>
  <c r="G75" i="3" s="1"/>
  <c r="J28" i="3"/>
  <c r="F27" i="3"/>
  <c r="G27" i="3" s="1"/>
  <c r="C26" i="3" l="1"/>
  <c r="A25" i="3"/>
  <c r="C226" i="3"/>
  <c r="A225" i="3"/>
  <c r="J327" i="3"/>
  <c r="F326" i="3"/>
  <c r="G326" i="3" s="1"/>
  <c r="J277" i="3"/>
  <c r="F276" i="3"/>
  <c r="G276" i="3" s="1"/>
  <c r="J227" i="3"/>
  <c r="F226" i="3"/>
  <c r="G226" i="3" s="1"/>
  <c r="J177" i="3"/>
  <c r="F176" i="3"/>
  <c r="G176" i="3" s="1"/>
  <c r="J127" i="3"/>
  <c r="F126" i="3"/>
  <c r="G126" i="3" s="1"/>
  <c r="J77" i="3"/>
  <c r="F76" i="3"/>
  <c r="G76" i="3" s="1"/>
  <c r="F28" i="3"/>
  <c r="G28" i="3" s="1"/>
  <c r="J29" i="3"/>
  <c r="C227" i="3" l="1"/>
  <c r="A226" i="3"/>
  <c r="C27" i="3"/>
  <c r="A26" i="3"/>
  <c r="J328" i="3"/>
  <c r="F327" i="3"/>
  <c r="G327" i="3" s="1"/>
  <c r="J278" i="3"/>
  <c r="F277" i="3"/>
  <c r="G277" i="3" s="1"/>
  <c r="J228" i="3"/>
  <c r="F227" i="3"/>
  <c r="G227" i="3" s="1"/>
  <c r="J178" i="3"/>
  <c r="F177" i="3"/>
  <c r="G177" i="3" s="1"/>
  <c r="J128" i="3"/>
  <c r="F127" i="3"/>
  <c r="G127" i="3" s="1"/>
  <c r="J78" i="3"/>
  <c r="F77" i="3"/>
  <c r="G77" i="3" s="1"/>
  <c r="J30" i="3"/>
  <c r="F29" i="3"/>
  <c r="G29" i="3" s="1"/>
  <c r="C28" i="3" l="1"/>
  <c r="A27" i="3"/>
  <c r="C228" i="3"/>
  <c r="A227" i="3"/>
  <c r="J329" i="3"/>
  <c r="F328" i="3"/>
  <c r="G328" i="3" s="1"/>
  <c r="J279" i="3"/>
  <c r="F278" i="3"/>
  <c r="G278" i="3" s="1"/>
  <c r="J229" i="3"/>
  <c r="F228" i="3"/>
  <c r="G228" i="3" s="1"/>
  <c r="J179" i="3"/>
  <c r="F178" i="3"/>
  <c r="G178" i="3" s="1"/>
  <c r="J129" i="3"/>
  <c r="F128" i="3"/>
  <c r="G128" i="3" s="1"/>
  <c r="J79" i="3"/>
  <c r="F78" i="3"/>
  <c r="G78" i="3" s="1"/>
  <c r="F30" i="3"/>
  <c r="G30" i="3" s="1"/>
  <c r="J31" i="3"/>
  <c r="C229" i="3" l="1"/>
  <c r="A228" i="3"/>
  <c r="C29" i="3"/>
  <c r="A28" i="3"/>
  <c r="F329" i="3"/>
  <c r="G329" i="3" s="1"/>
  <c r="J330" i="3"/>
  <c r="F279" i="3"/>
  <c r="G279" i="3" s="1"/>
  <c r="J280" i="3"/>
  <c r="J230" i="3"/>
  <c r="F229" i="3"/>
  <c r="G229" i="3" s="1"/>
  <c r="J180" i="3"/>
  <c r="F179" i="3"/>
  <c r="G179" i="3" s="1"/>
  <c r="J130" i="3"/>
  <c r="F129" i="3"/>
  <c r="G129" i="3" s="1"/>
  <c r="F79" i="3"/>
  <c r="G79" i="3" s="1"/>
  <c r="J80" i="3"/>
  <c r="F31" i="3"/>
  <c r="G31" i="3" s="1"/>
  <c r="J32" i="3"/>
  <c r="C30" i="3" l="1"/>
  <c r="A29" i="3"/>
  <c r="C230" i="3"/>
  <c r="A229" i="3"/>
  <c r="J331" i="3"/>
  <c r="F330" i="3"/>
  <c r="G330" i="3" s="1"/>
  <c r="J281" i="3"/>
  <c r="F280" i="3"/>
  <c r="G280" i="3" s="1"/>
  <c r="J231" i="3"/>
  <c r="F230" i="3"/>
  <c r="G230" i="3" s="1"/>
  <c r="J181" i="3"/>
  <c r="F180" i="3"/>
  <c r="G180" i="3" s="1"/>
  <c r="F130" i="3"/>
  <c r="G130" i="3" s="1"/>
  <c r="J131" i="3"/>
  <c r="J81" i="3"/>
  <c r="F80" i="3"/>
  <c r="G80" i="3" s="1"/>
  <c r="F32" i="3"/>
  <c r="G32" i="3" s="1"/>
  <c r="J33" i="3"/>
  <c r="C231" i="3" l="1"/>
  <c r="A230" i="3"/>
  <c r="C31" i="3"/>
  <c r="A30" i="3"/>
  <c r="J332" i="3"/>
  <c r="F331" i="3"/>
  <c r="G331" i="3" s="1"/>
  <c r="J282" i="3"/>
  <c r="F281" i="3"/>
  <c r="G281" i="3" s="1"/>
  <c r="J232" i="3"/>
  <c r="F231" i="3"/>
  <c r="G231" i="3" s="1"/>
  <c r="J182" i="3"/>
  <c r="F181" i="3"/>
  <c r="G181" i="3" s="1"/>
  <c r="J132" i="3"/>
  <c r="F131" i="3"/>
  <c r="G131" i="3" s="1"/>
  <c r="J82" i="3"/>
  <c r="F81" i="3"/>
  <c r="G81" i="3" s="1"/>
  <c r="F33" i="3"/>
  <c r="G33" i="3" s="1"/>
  <c r="J34" i="3"/>
  <c r="C32" i="3" l="1"/>
  <c r="A31" i="3"/>
  <c r="C232" i="3"/>
  <c r="A231" i="3"/>
  <c r="J333" i="3"/>
  <c r="F332" i="3"/>
  <c r="G332" i="3" s="1"/>
  <c r="J283" i="3"/>
  <c r="F282" i="3"/>
  <c r="G282" i="3" s="1"/>
  <c r="J233" i="3"/>
  <c r="F232" i="3"/>
  <c r="G232" i="3" s="1"/>
  <c r="J183" i="3"/>
  <c r="F182" i="3"/>
  <c r="G182" i="3" s="1"/>
  <c r="F132" i="3"/>
  <c r="G132" i="3" s="1"/>
  <c r="J133" i="3"/>
  <c r="J83" i="3"/>
  <c r="F82" i="3"/>
  <c r="G82" i="3" s="1"/>
  <c r="F34" i="3"/>
  <c r="G34" i="3" s="1"/>
  <c r="J35" i="3"/>
  <c r="C233" i="3" l="1"/>
  <c r="A232" i="3"/>
  <c r="C33" i="3"/>
  <c r="A32" i="3"/>
  <c r="J334" i="3"/>
  <c r="F333" i="3"/>
  <c r="G333" i="3" s="1"/>
  <c r="J284" i="3"/>
  <c r="F283" i="3"/>
  <c r="G283" i="3" s="1"/>
  <c r="J234" i="3"/>
  <c r="F233" i="3"/>
  <c r="G233" i="3" s="1"/>
  <c r="J184" i="3"/>
  <c r="F183" i="3"/>
  <c r="G183" i="3" s="1"/>
  <c r="J134" i="3"/>
  <c r="F133" i="3"/>
  <c r="G133" i="3" s="1"/>
  <c r="F83" i="3"/>
  <c r="G83" i="3" s="1"/>
  <c r="J84" i="3"/>
  <c r="J36" i="3"/>
  <c r="F35" i="3"/>
  <c r="G35" i="3" s="1"/>
  <c r="C234" i="3" l="1"/>
  <c r="A233" i="3"/>
  <c r="C34" i="3"/>
  <c r="A33" i="3"/>
  <c r="J335" i="3"/>
  <c r="F334" i="3"/>
  <c r="G334" i="3" s="1"/>
  <c r="J285" i="3"/>
  <c r="F284" i="3"/>
  <c r="G284" i="3" s="1"/>
  <c r="J235" i="3"/>
  <c r="F234" i="3"/>
  <c r="G234" i="3" s="1"/>
  <c r="J185" i="3"/>
  <c r="F184" i="3"/>
  <c r="G184" i="3" s="1"/>
  <c r="J135" i="3"/>
  <c r="F134" i="3"/>
  <c r="G134" i="3" s="1"/>
  <c r="J85" i="3"/>
  <c r="F84" i="3"/>
  <c r="G84" i="3" s="1"/>
  <c r="J37" i="3"/>
  <c r="F36" i="3"/>
  <c r="G36" i="3" s="1"/>
  <c r="C235" i="3" l="1"/>
  <c r="A234" i="3"/>
  <c r="C35" i="3"/>
  <c r="A34" i="3"/>
  <c r="J336" i="3"/>
  <c r="F335" i="3"/>
  <c r="G335" i="3" s="1"/>
  <c r="J286" i="3"/>
  <c r="F285" i="3"/>
  <c r="G285" i="3" s="1"/>
  <c r="J236" i="3"/>
  <c r="F235" i="3"/>
  <c r="G235" i="3" s="1"/>
  <c r="J186" i="3"/>
  <c r="F185" i="3"/>
  <c r="G185" i="3" s="1"/>
  <c r="J136" i="3"/>
  <c r="F135" i="3"/>
  <c r="G135" i="3" s="1"/>
  <c r="J86" i="3"/>
  <c r="F85" i="3"/>
  <c r="G85" i="3" s="1"/>
  <c r="J38" i="3"/>
  <c r="F37" i="3"/>
  <c r="G37" i="3" s="1"/>
  <c r="C36" i="3" l="1"/>
  <c r="A35" i="3"/>
  <c r="C236" i="3"/>
  <c r="A235" i="3"/>
  <c r="J337" i="3"/>
  <c r="F336" i="3"/>
  <c r="G336" i="3" s="1"/>
  <c r="J287" i="3"/>
  <c r="F286" i="3"/>
  <c r="G286" i="3" s="1"/>
  <c r="J237" i="3"/>
  <c r="F236" i="3"/>
  <c r="G236" i="3" s="1"/>
  <c r="J187" i="3"/>
  <c r="F186" i="3"/>
  <c r="G186" i="3" s="1"/>
  <c r="F136" i="3"/>
  <c r="G136" i="3" s="1"/>
  <c r="J137" i="3"/>
  <c r="J87" i="3"/>
  <c r="F86" i="3"/>
  <c r="G86" i="3" s="1"/>
  <c r="F38" i="3"/>
  <c r="G38" i="3" s="1"/>
  <c r="J39" i="3"/>
  <c r="C37" i="3" l="1"/>
  <c r="A36" i="3"/>
  <c r="C237" i="3"/>
  <c r="A236" i="3"/>
  <c r="F337" i="3"/>
  <c r="G337" i="3" s="1"/>
  <c r="J338" i="3"/>
  <c r="J288" i="3"/>
  <c r="F287" i="3"/>
  <c r="G287" i="3" s="1"/>
  <c r="J238" i="3"/>
  <c r="F237" i="3"/>
  <c r="G237" i="3" s="1"/>
  <c r="J188" i="3"/>
  <c r="F187" i="3"/>
  <c r="G187" i="3" s="1"/>
  <c r="J138" i="3"/>
  <c r="F137" i="3"/>
  <c r="G137" i="3" s="1"/>
  <c r="J88" i="3"/>
  <c r="F87" i="3"/>
  <c r="G87" i="3" s="1"/>
  <c r="F39" i="3"/>
  <c r="G39" i="3" s="1"/>
  <c r="J40" i="3"/>
  <c r="C38" i="3" l="1"/>
  <c r="A37" i="3"/>
  <c r="C238" i="3"/>
  <c r="A237" i="3"/>
  <c r="J339" i="3"/>
  <c r="F338" i="3"/>
  <c r="G338" i="3" s="1"/>
  <c r="J289" i="3"/>
  <c r="F288" i="3"/>
  <c r="G288" i="3" s="1"/>
  <c r="J239" i="3"/>
  <c r="F238" i="3"/>
  <c r="G238" i="3" s="1"/>
  <c r="J189" i="3"/>
  <c r="F188" i="3"/>
  <c r="G188" i="3" s="1"/>
  <c r="J139" i="3"/>
  <c r="F138" i="3"/>
  <c r="G138" i="3" s="1"/>
  <c r="J89" i="3"/>
  <c r="F88" i="3"/>
  <c r="G88" i="3" s="1"/>
  <c r="F40" i="3"/>
  <c r="G40" i="3" s="1"/>
  <c r="J41" i="3"/>
  <c r="C39" i="3" l="1"/>
  <c r="A38" i="3"/>
  <c r="C239" i="3"/>
  <c r="A238" i="3"/>
  <c r="J340" i="3"/>
  <c r="F339" i="3"/>
  <c r="G339" i="3" s="1"/>
  <c r="J290" i="3"/>
  <c r="F289" i="3"/>
  <c r="G289" i="3" s="1"/>
  <c r="J240" i="3"/>
  <c r="F239" i="3"/>
  <c r="G239" i="3" s="1"/>
  <c r="J190" i="3"/>
  <c r="F189" i="3"/>
  <c r="G189" i="3" s="1"/>
  <c r="J140" i="3"/>
  <c r="F139" i="3"/>
  <c r="G139" i="3" s="1"/>
  <c r="J90" i="3"/>
  <c r="F89" i="3"/>
  <c r="G89" i="3" s="1"/>
  <c r="F41" i="3"/>
  <c r="G41" i="3" s="1"/>
  <c r="J42" i="3"/>
  <c r="C40" i="3" l="1"/>
  <c r="A39" i="3"/>
  <c r="C240" i="3"/>
  <c r="A239" i="3"/>
  <c r="J341" i="3"/>
  <c r="F340" i="3"/>
  <c r="G340" i="3" s="1"/>
  <c r="J291" i="3"/>
  <c r="F290" i="3"/>
  <c r="G290" i="3" s="1"/>
  <c r="J241" i="3"/>
  <c r="F240" i="3"/>
  <c r="G240" i="3" s="1"/>
  <c r="J191" i="3"/>
  <c r="F190" i="3"/>
  <c r="G190" i="3" s="1"/>
  <c r="J141" i="3"/>
  <c r="F140" i="3"/>
  <c r="G140" i="3" s="1"/>
  <c r="J91" i="3"/>
  <c r="F90" i="3"/>
  <c r="G90" i="3" s="1"/>
  <c r="F42" i="3"/>
  <c r="G42" i="3" s="1"/>
  <c r="J43" i="3"/>
  <c r="C41" i="3" l="1"/>
  <c r="A40" i="3"/>
  <c r="C241" i="3"/>
  <c r="A240" i="3"/>
  <c r="J342" i="3"/>
  <c r="F341" i="3"/>
  <c r="G341" i="3" s="1"/>
  <c r="F291" i="3"/>
  <c r="G291" i="3" s="1"/>
  <c r="J292" i="3"/>
  <c r="J242" i="3"/>
  <c r="F241" i="3"/>
  <c r="G241" i="3" s="1"/>
  <c r="J192" i="3"/>
  <c r="F191" i="3"/>
  <c r="G191" i="3" s="1"/>
  <c r="J142" i="3"/>
  <c r="F141" i="3"/>
  <c r="G141" i="3" s="1"/>
  <c r="J92" i="3"/>
  <c r="F91" i="3"/>
  <c r="G91" i="3" s="1"/>
  <c r="J44" i="3"/>
  <c r="F43" i="3"/>
  <c r="G43" i="3" s="1"/>
  <c r="C42" i="3" l="1"/>
  <c r="A41" i="3"/>
  <c r="C242" i="3"/>
  <c r="A241" i="3"/>
  <c r="J343" i="3"/>
  <c r="F342" i="3"/>
  <c r="G342" i="3" s="1"/>
  <c r="J293" i="3"/>
  <c r="F292" i="3"/>
  <c r="G292" i="3" s="1"/>
  <c r="J243" i="3"/>
  <c r="F242" i="3"/>
  <c r="G242" i="3" s="1"/>
  <c r="J193" i="3"/>
  <c r="F192" i="3"/>
  <c r="G192" i="3" s="1"/>
  <c r="J143" i="3"/>
  <c r="F142" i="3"/>
  <c r="G142" i="3" s="1"/>
  <c r="J93" i="3"/>
  <c r="F92" i="3"/>
  <c r="G92" i="3" s="1"/>
  <c r="F44" i="3"/>
  <c r="G44" i="3" s="1"/>
  <c r="J45" i="3"/>
  <c r="C43" i="3" l="1"/>
  <c r="A42" i="3"/>
  <c r="C243" i="3"/>
  <c r="A242" i="3"/>
  <c r="J344" i="3"/>
  <c r="F343" i="3"/>
  <c r="G343" i="3" s="1"/>
  <c r="J294" i="3"/>
  <c r="F293" i="3"/>
  <c r="G293" i="3" s="1"/>
  <c r="J244" i="3"/>
  <c r="F243" i="3"/>
  <c r="G243" i="3" s="1"/>
  <c r="J194" i="3"/>
  <c r="F193" i="3"/>
  <c r="G193" i="3" s="1"/>
  <c r="J144" i="3"/>
  <c r="F143" i="3"/>
  <c r="G143" i="3" s="1"/>
  <c r="J94" i="3"/>
  <c r="F93" i="3"/>
  <c r="G93" i="3" s="1"/>
  <c r="J46" i="3"/>
  <c r="F45" i="3"/>
  <c r="G45" i="3" s="1"/>
  <c r="C44" i="3" l="1"/>
  <c r="A43" i="3"/>
  <c r="C244" i="3"/>
  <c r="A243" i="3"/>
  <c r="J345" i="3"/>
  <c r="F344" i="3"/>
  <c r="G344" i="3" s="1"/>
  <c r="J295" i="3"/>
  <c r="F294" i="3"/>
  <c r="G294" i="3" s="1"/>
  <c r="J245" i="3"/>
  <c r="F244" i="3"/>
  <c r="G244" i="3" s="1"/>
  <c r="J195" i="3"/>
  <c r="F194" i="3"/>
  <c r="G194" i="3" s="1"/>
  <c r="J145" i="3"/>
  <c r="F144" i="3"/>
  <c r="G144" i="3" s="1"/>
  <c r="J95" i="3"/>
  <c r="F94" i="3"/>
  <c r="G94" i="3" s="1"/>
  <c r="F46" i="3"/>
  <c r="G46" i="3" s="1"/>
  <c r="J47" i="3"/>
  <c r="C45" i="3" l="1"/>
  <c r="A44" i="3"/>
  <c r="C245" i="3"/>
  <c r="A244" i="3"/>
  <c r="F345" i="3"/>
  <c r="G345" i="3" s="1"/>
  <c r="J346" i="3"/>
  <c r="J296" i="3"/>
  <c r="F295" i="3"/>
  <c r="G295" i="3" s="1"/>
  <c r="J246" i="3"/>
  <c r="F245" i="3"/>
  <c r="G245" i="3" s="1"/>
  <c r="J196" i="3"/>
  <c r="F195" i="3"/>
  <c r="G195" i="3" s="1"/>
  <c r="J146" i="3"/>
  <c r="F145" i="3"/>
  <c r="G145" i="3" s="1"/>
  <c r="J96" i="3"/>
  <c r="F95" i="3"/>
  <c r="G95" i="3" s="1"/>
  <c r="F47" i="3"/>
  <c r="G47" i="3" s="1"/>
  <c r="J48" i="3"/>
  <c r="C46" i="3" l="1"/>
  <c r="A45" i="3"/>
  <c r="C246" i="3"/>
  <c r="A245" i="3"/>
  <c r="J347" i="3"/>
  <c r="F346" i="3"/>
  <c r="G346" i="3" s="1"/>
  <c r="J297" i="3"/>
  <c r="F296" i="3"/>
  <c r="G296" i="3" s="1"/>
  <c r="J247" i="3"/>
  <c r="F246" i="3"/>
  <c r="G246" i="3" s="1"/>
  <c r="J197" i="3"/>
  <c r="F196" i="3"/>
  <c r="G196" i="3" s="1"/>
  <c r="J147" i="3"/>
  <c r="F146" i="3"/>
  <c r="G146" i="3" s="1"/>
  <c r="J97" i="3"/>
  <c r="F96" i="3"/>
  <c r="G96" i="3" s="1"/>
  <c r="F48" i="3"/>
  <c r="G48" i="3" s="1"/>
  <c r="J49" i="3"/>
  <c r="C47" i="3" l="1"/>
  <c r="A46" i="3"/>
  <c r="C247" i="3"/>
  <c r="A246" i="3"/>
  <c r="J348" i="3"/>
  <c r="F347" i="3"/>
  <c r="G347" i="3" s="1"/>
  <c r="J298" i="3"/>
  <c r="F297" i="3"/>
  <c r="G297" i="3" s="1"/>
  <c r="J248" i="3"/>
  <c r="F247" i="3"/>
  <c r="G247" i="3" s="1"/>
  <c r="J198" i="3"/>
  <c r="F197" i="3"/>
  <c r="G197" i="3" s="1"/>
  <c r="J148" i="3"/>
  <c r="F147" i="3"/>
  <c r="G147" i="3" s="1"/>
  <c r="J98" i="3"/>
  <c r="F97" i="3"/>
  <c r="G97" i="3" s="1"/>
  <c r="F49" i="3"/>
  <c r="G49" i="3" s="1"/>
  <c r="J50" i="3"/>
  <c r="C248" i="3" l="1"/>
  <c r="A247" i="3"/>
  <c r="C48" i="3"/>
  <c r="A47" i="3"/>
  <c r="J349" i="3"/>
  <c r="F348" i="3"/>
  <c r="G348" i="3" s="1"/>
  <c r="J299" i="3"/>
  <c r="F298" i="3"/>
  <c r="G298" i="3" s="1"/>
  <c r="J249" i="3"/>
  <c r="F248" i="3"/>
  <c r="G248" i="3" s="1"/>
  <c r="J199" i="3"/>
  <c r="F198" i="3"/>
  <c r="G198" i="3" s="1"/>
  <c r="F148" i="3"/>
  <c r="G148" i="3" s="1"/>
  <c r="J149" i="3"/>
  <c r="J99" i="3"/>
  <c r="F98" i="3"/>
  <c r="G98" i="3" s="1"/>
  <c r="F50" i="3"/>
  <c r="G50" i="3" s="1"/>
  <c r="J51" i="3"/>
  <c r="F51" i="3" s="1"/>
  <c r="G51" i="3" s="1"/>
  <c r="C249" i="3" l="1"/>
  <c r="A248" i="3"/>
  <c r="C49" i="3"/>
  <c r="A48" i="3"/>
  <c r="F349" i="3"/>
  <c r="G349" i="3" s="1"/>
  <c r="J350" i="3"/>
  <c r="J300" i="3"/>
  <c r="F299" i="3"/>
  <c r="G299" i="3" s="1"/>
  <c r="J250" i="3"/>
  <c r="F249" i="3"/>
  <c r="G249" i="3" s="1"/>
  <c r="J200" i="3"/>
  <c r="F199" i="3"/>
  <c r="G199" i="3" s="1"/>
  <c r="J150" i="3"/>
  <c r="F149" i="3"/>
  <c r="G149" i="3" s="1"/>
  <c r="J100" i="3"/>
  <c r="F99" i="3"/>
  <c r="G99" i="3" s="1"/>
  <c r="C250" i="3" l="1"/>
  <c r="A249" i="3"/>
  <c r="C50" i="3"/>
  <c r="A49" i="3"/>
  <c r="J351" i="3"/>
  <c r="F351" i="3" s="1"/>
  <c r="G351" i="3" s="1"/>
  <c r="F350" i="3"/>
  <c r="G350" i="3" s="1"/>
  <c r="J301" i="3"/>
  <c r="F301" i="3" s="1"/>
  <c r="G301" i="3" s="1"/>
  <c r="F300" i="3"/>
  <c r="G300" i="3" s="1"/>
  <c r="J251" i="3"/>
  <c r="F251" i="3" s="1"/>
  <c r="G251" i="3" s="1"/>
  <c r="F250" i="3"/>
  <c r="G250" i="3" s="1"/>
  <c r="J201" i="3"/>
  <c r="F201" i="3" s="1"/>
  <c r="G201" i="3" s="1"/>
  <c r="F200" i="3"/>
  <c r="G200" i="3" s="1"/>
  <c r="J151" i="3"/>
  <c r="F151" i="3" s="1"/>
  <c r="G151" i="3" s="1"/>
  <c r="F150" i="3"/>
  <c r="G150" i="3" s="1"/>
  <c r="J101" i="3"/>
  <c r="F101" i="3" s="1"/>
  <c r="G101" i="3" s="1"/>
  <c r="F100" i="3"/>
  <c r="G100" i="3" s="1"/>
  <c r="C251" i="3" l="1"/>
  <c r="A251" i="3" s="1"/>
  <c r="A250" i="3"/>
  <c r="C51" i="3"/>
  <c r="A51" i="3" s="1"/>
  <c r="A50" i="3"/>
</calcChain>
</file>

<file path=xl/sharedStrings.xml><?xml version="1.0" encoding="utf-8"?>
<sst xmlns="http://schemas.openxmlformats.org/spreadsheetml/2006/main" count="5199" uniqueCount="1004">
  <si>
    <t>AL</t>
  </si>
  <si>
    <t>Alabama</t>
  </si>
  <si>
    <t>AK</t>
  </si>
  <si>
    <t>Alaska</t>
  </si>
  <si>
    <t>AZ</t>
  </si>
  <si>
    <t>Arizona</t>
  </si>
  <si>
    <t>AR</t>
  </si>
  <si>
    <t>Arkansas</t>
  </si>
  <si>
    <t>CA</t>
  </si>
  <si>
    <t>CO</t>
  </si>
  <si>
    <t>Colorado</t>
  </si>
  <si>
    <t>CT</t>
  </si>
  <si>
    <t>Connecticut</t>
  </si>
  <si>
    <t>DE</t>
  </si>
  <si>
    <t>Delaware</t>
  </si>
  <si>
    <t>FL</t>
  </si>
  <si>
    <t>Florida</t>
  </si>
  <si>
    <t>GA</t>
  </si>
  <si>
    <t>Georgia</t>
  </si>
  <si>
    <t>HI</t>
  </si>
  <si>
    <t>Hawaii</t>
  </si>
  <si>
    <t>ID</t>
  </si>
  <si>
    <t>Idaho</t>
  </si>
  <si>
    <t>IL</t>
  </si>
  <si>
    <t>Illinois</t>
  </si>
  <si>
    <t>IN</t>
  </si>
  <si>
    <t>Indiana</t>
  </si>
  <si>
    <t>IA</t>
  </si>
  <si>
    <t>Iowa</t>
  </si>
  <si>
    <t>KS</t>
  </si>
  <si>
    <t>Kansas</t>
  </si>
  <si>
    <t>KY</t>
  </si>
  <si>
    <t>Kentucky</t>
  </si>
  <si>
    <t>LA</t>
  </si>
  <si>
    <t>Louisiana</t>
  </si>
  <si>
    <t>ME</t>
  </si>
  <si>
    <t>Maine</t>
  </si>
  <si>
    <t>MD</t>
  </si>
  <si>
    <t>Maryland</t>
  </si>
  <si>
    <t>MA</t>
  </si>
  <si>
    <t>Massachusetts</t>
  </si>
  <si>
    <t>MI</t>
  </si>
  <si>
    <t>Michigan</t>
  </si>
  <si>
    <t>MN</t>
  </si>
  <si>
    <t>Minnesota</t>
  </si>
  <si>
    <t>MS</t>
  </si>
  <si>
    <t>Mississippi</t>
  </si>
  <si>
    <t>MO</t>
  </si>
  <si>
    <t>Missouri</t>
  </si>
  <si>
    <t>MT</t>
  </si>
  <si>
    <t>Montana</t>
  </si>
  <si>
    <t>NE</t>
  </si>
  <si>
    <t>Nebraska</t>
  </si>
  <si>
    <t>NV</t>
  </si>
  <si>
    <t>Nevada</t>
  </si>
  <si>
    <t>NH</t>
  </si>
  <si>
    <t>New Hampshire</t>
  </si>
  <si>
    <t>NJ</t>
  </si>
  <si>
    <t>New Jersey</t>
  </si>
  <si>
    <t>NM</t>
  </si>
  <si>
    <t>New Mexico</t>
  </si>
  <si>
    <t>NY</t>
  </si>
  <si>
    <t>New York</t>
  </si>
  <si>
    <t>NC</t>
  </si>
  <si>
    <t>North Carolina</t>
  </si>
  <si>
    <t>ND</t>
  </si>
  <si>
    <t>North Dakota</t>
  </si>
  <si>
    <t>OH</t>
  </si>
  <si>
    <t>Ohio</t>
  </si>
  <si>
    <t>OK</t>
  </si>
  <si>
    <t>Oklahoma</t>
  </si>
  <si>
    <t>OR</t>
  </si>
  <si>
    <t>Oregon</t>
  </si>
  <si>
    <t>PA</t>
  </si>
  <si>
    <t>Pennsylvania</t>
  </si>
  <si>
    <t>RI</t>
  </si>
  <si>
    <t>Rhode Island</t>
  </si>
  <si>
    <t>SC</t>
  </si>
  <si>
    <t>South Carolina</t>
  </si>
  <si>
    <t>SD</t>
  </si>
  <si>
    <t>South Dakota</t>
  </si>
  <si>
    <t>TN</t>
  </si>
  <si>
    <t>Tennessee</t>
  </si>
  <si>
    <t>TX</t>
  </si>
  <si>
    <t>Texas</t>
  </si>
  <si>
    <t>UT</t>
  </si>
  <si>
    <t>Utah</t>
  </si>
  <si>
    <t>VT</t>
  </si>
  <si>
    <t>Vermont</t>
  </si>
  <si>
    <t>VA</t>
  </si>
  <si>
    <t>Virginia</t>
  </si>
  <si>
    <t>WA</t>
  </si>
  <si>
    <t>Washington</t>
  </si>
  <si>
    <t>WV</t>
  </si>
  <si>
    <t>West Virginia</t>
  </si>
  <si>
    <t>WI</t>
  </si>
  <si>
    <t>Wisconsin</t>
  </si>
  <si>
    <t>WY</t>
  </si>
  <si>
    <t>Wyoming</t>
  </si>
  <si>
    <t>FRED Postfix</t>
  </si>
  <si>
    <t>Full Name</t>
  </si>
  <si>
    <t>NA</t>
  </si>
  <si>
    <t>RGSP</t>
  </si>
  <si>
    <t>Monthly</t>
  </si>
  <si>
    <t>Annual</t>
  </si>
  <si>
    <t>Freq</t>
  </si>
  <si>
    <t>Coincident Economic Activity Index</t>
  </si>
  <si>
    <t>PHCI</t>
  </si>
  <si>
    <t>All Employees: Construction</t>
  </si>
  <si>
    <t>CONS</t>
  </si>
  <si>
    <t>UR</t>
  </si>
  <si>
    <t>Unemployment Rate</t>
  </si>
  <si>
    <t>Code</t>
  </si>
  <si>
    <t>OTOT</t>
  </si>
  <si>
    <t>Total Personal Income</t>
  </si>
  <si>
    <t>STHPI</t>
  </si>
  <si>
    <t>All-Transactions House Price Index</t>
  </si>
  <si>
    <t>All Employees: Total Nonfarm</t>
  </si>
  <si>
    <t>Real Total Gross Domestic Product</t>
  </si>
  <si>
    <t>Country</t>
  </si>
  <si>
    <t>fred</t>
  </si>
  <si>
    <t>bloomberg</t>
  </si>
  <si>
    <t>quandl</t>
  </si>
  <si>
    <t>Short Name</t>
  </si>
  <si>
    <t>California</t>
  </si>
  <si>
    <t>Total Nonfarm</t>
  </si>
  <si>
    <t>g10</t>
  </si>
  <si>
    <t>Eurozone</t>
  </si>
  <si>
    <t>United Kingdom</t>
  </si>
  <si>
    <t>Australia</t>
  </si>
  <si>
    <t>New Zealand</t>
  </si>
  <si>
    <t>United States</t>
  </si>
  <si>
    <t>Canada</t>
  </si>
  <si>
    <t>Switzerland</t>
  </si>
  <si>
    <t>Norway</t>
  </si>
  <si>
    <t>Sweden</t>
  </si>
  <si>
    <t>Japan</t>
  </si>
  <si>
    <t>Prefix</t>
  </si>
  <si>
    <t>Postfix</t>
  </si>
  <si>
    <t>Quarterly</t>
  </si>
  <si>
    <t>Real GDP</t>
  </si>
  <si>
    <t>Economic Activity Index</t>
  </si>
  <si>
    <t>Total Construction Employees</t>
  </si>
  <si>
    <t>Afghanistan</t>
  </si>
  <si>
    <t>AFG</t>
  </si>
  <si>
    <t>Albania</t>
  </si>
  <si>
    <t>ALB</t>
  </si>
  <si>
    <t>Algeria</t>
  </si>
  <si>
    <t>DZA</t>
  </si>
  <si>
    <t>American Samoa</t>
  </si>
  <si>
    <t>ASM</t>
  </si>
  <si>
    <t>Andorra</t>
  </si>
  <si>
    <t>AND</t>
  </si>
  <si>
    <t>Angola</t>
  </si>
  <si>
    <t>AGO</t>
  </si>
  <si>
    <t>Anguilla</t>
  </si>
  <si>
    <t>AIA</t>
  </si>
  <si>
    <t>Antigua and Barbuda</t>
  </si>
  <si>
    <t>ATG</t>
  </si>
  <si>
    <t>Argentina</t>
  </si>
  <si>
    <t>ARG</t>
  </si>
  <si>
    <t>Armenia</t>
  </si>
  <si>
    <t>ARM</t>
  </si>
  <si>
    <t>Aruba</t>
  </si>
  <si>
    <t>ABW</t>
  </si>
  <si>
    <t>AUS</t>
  </si>
  <si>
    <t>Austria</t>
  </si>
  <si>
    <t>AUT</t>
  </si>
  <si>
    <t>Azerbaijan</t>
  </si>
  <si>
    <t>AZE</t>
  </si>
  <si>
    <t>Bahamas, The</t>
  </si>
  <si>
    <t>BHM</t>
  </si>
  <si>
    <t>Bahrain</t>
  </si>
  <si>
    <t>BHR</t>
  </si>
  <si>
    <t>Bangladesh</t>
  </si>
  <si>
    <t>BGD</t>
  </si>
  <si>
    <t>Barbados</t>
  </si>
  <si>
    <t>BRB</t>
  </si>
  <si>
    <t>Belarus</t>
  </si>
  <si>
    <t>BLR</t>
  </si>
  <si>
    <t>Belgium</t>
  </si>
  <si>
    <t>BEL</t>
  </si>
  <si>
    <t>Belize</t>
  </si>
  <si>
    <t>BLZ</t>
  </si>
  <si>
    <t>Benin</t>
  </si>
  <si>
    <t>BEN</t>
  </si>
  <si>
    <t>Bermuda</t>
  </si>
  <si>
    <t>BMU</t>
  </si>
  <si>
    <t>Bhutan</t>
  </si>
  <si>
    <t>BTN</t>
  </si>
  <si>
    <t>Bolivia</t>
  </si>
  <si>
    <t>BOL</t>
  </si>
  <si>
    <t>Bosnia and Herzegovina</t>
  </si>
  <si>
    <t>BIH</t>
  </si>
  <si>
    <t>Botswana</t>
  </si>
  <si>
    <t>BWA</t>
  </si>
  <si>
    <t>Brazil</t>
  </si>
  <si>
    <t>BRA</t>
  </si>
  <si>
    <t>British Virgin Islands</t>
  </si>
  <si>
    <t>VGB</t>
  </si>
  <si>
    <t>Brunei</t>
  </si>
  <si>
    <t>BRN</t>
  </si>
  <si>
    <t>Bulgaria</t>
  </si>
  <si>
    <t>BGR</t>
  </si>
  <si>
    <t>Burkina Faso</t>
  </si>
  <si>
    <t>BFA</t>
  </si>
  <si>
    <t>Burma</t>
  </si>
  <si>
    <t>MMR</t>
  </si>
  <si>
    <t>Burundi</t>
  </si>
  <si>
    <t>BDI</t>
  </si>
  <si>
    <t>Cabo Verde</t>
  </si>
  <si>
    <t>CPV</t>
  </si>
  <si>
    <t>Cambodia</t>
  </si>
  <si>
    <t>KHM</t>
  </si>
  <si>
    <t>Cameroon</t>
  </si>
  <si>
    <t>CMR</t>
  </si>
  <si>
    <t>CAN</t>
  </si>
  <si>
    <t>Cayman Islands</t>
  </si>
  <si>
    <t>CYM</t>
  </si>
  <si>
    <t>Central African Republic</t>
  </si>
  <si>
    <t>CAF</t>
  </si>
  <si>
    <t>Chad</t>
  </si>
  <si>
    <t>TCD</t>
  </si>
  <si>
    <t>Chile</t>
  </si>
  <si>
    <t>CHL</t>
  </si>
  <si>
    <t>China</t>
  </si>
  <si>
    <t>CHN</t>
  </si>
  <si>
    <t>Colombia</t>
  </si>
  <si>
    <t>COL</t>
  </si>
  <si>
    <t>Comoros</t>
  </si>
  <si>
    <t>COM</t>
  </si>
  <si>
    <t>Congo, Democratic Republic of the</t>
  </si>
  <si>
    <t>COD</t>
  </si>
  <si>
    <t>Congo, Republic of the</t>
  </si>
  <si>
    <t>COG</t>
  </si>
  <si>
    <t>Cook Islands</t>
  </si>
  <si>
    <t>COK</t>
  </si>
  <si>
    <t>Costa Rica</t>
  </si>
  <si>
    <t>CRI</t>
  </si>
  <si>
    <t>Cote d'Ivoire</t>
  </si>
  <si>
    <t>CIV</t>
  </si>
  <si>
    <t>Croatia</t>
  </si>
  <si>
    <t>HRV</t>
  </si>
  <si>
    <t>Cuba</t>
  </si>
  <si>
    <t>CUB</t>
  </si>
  <si>
    <t>Curacao</t>
  </si>
  <si>
    <t>CUW</t>
  </si>
  <si>
    <t>Cyprus</t>
  </si>
  <si>
    <t>CYP</t>
  </si>
  <si>
    <t>Czech Republic</t>
  </si>
  <si>
    <t>CZE</t>
  </si>
  <si>
    <t>Denmark</t>
  </si>
  <si>
    <t>DNK</t>
  </si>
  <si>
    <t>Djibouti</t>
  </si>
  <si>
    <t>DJI</t>
  </si>
  <si>
    <t>Dominica</t>
  </si>
  <si>
    <t>DMA</t>
  </si>
  <si>
    <t>Dominican Republic</t>
  </si>
  <si>
    <t>DOM</t>
  </si>
  <si>
    <t>Ecuador</t>
  </si>
  <si>
    <t>ECU</t>
  </si>
  <si>
    <t>Egypt</t>
  </si>
  <si>
    <t>EGY</t>
  </si>
  <si>
    <t>El Salvador</t>
  </si>
  <si>
    <t>SLV</t>
  </si>
  <si>
    <t>Equatorial Guinea</t>
  </si>
  <si>
    <t>GNQ</t>
  </si>
  <si>
    <t>Eritrea</t>
  </si>
  <si>
    <t>ERI</t>
  </si>
  <si>
    <t>Estonia</t>
  </si>
  <si>
    <t>EST</t>
  </si>
  <si>
    <t>Ethiopia</t>
  </si>
  <si>
    <t>ETH</t>
  </si>
  <si>
    <t>Falkland Islands (Islas Malvinas)</t>
  </si>
  <si>
    <t>FLK</t>
  </si>
  <si>
    <t>Faroe Islands</t>
  </si>
  <si>
    <t>FRO</t>
  </si>
  <si>
    <t>Fiji</t>
  </si>
  <si>
    <t>FJI</t>
  </si>
  <si>
    <t>Finland</t>
  </si>
  <si>
    <t>FIN</t>
  </si>
  <si>
    <t>France</t>
  </si>
  <si>
    <t>FRA</t>
  </si>
  <si>
    <t>French Polynesia</t>
  </si>
  <si>
    <t>PYF</t>
  </si>
  <si>
    <t>Gabon</t>
  </si>
  <si>
    <t>GAB</t>
  </si>
  <si>
    <t>Gambia, The</t>
  </si>
  <si>
    <t>GMB</t>
  </si>
  <si>
    <t>GEO</t>
  </si>
  <si>
    <t>Germany</t>
  </si>
  <si>
    <t>DEU</t>
  </si>
  <si>
    <t>Ghana</t>
  </si>
  <si>
    <t>GHA</t>
  </si>
  <si>
    <t>Gibraltar</t>
  </si>
  <si>
    <t>GIB</t>
  </si>
  <si>
    <t>Greece</t>
  </si>
  <si>
    <t>GRC</t>
  </si>
  <si>
    <t>Greenland</t>
  </si>
  <si>
    <t>GRL</t>
  </si>
  <si>
    <t>Grenada</t>
  </si>
  <si>
    <t>GRD</t>
  </si>
  <si>
    <t>Guam</t>
  </si>
  <si>
    <t>GUM</t>
  </si>
  <si>
    <t>Guatemala</t>
  </si>
  <si>
    <t>GTM</t>
  </si>
  <si>
    <t>Guernsey</t>
  </si>
  <si>
    <t>GGY</t>
  </si>
  <si>
    <t>Guinea-Bissau</t>
  </si>
  <si>
    <t>GNB</t>
  </si>
  <si>
    <t>Guinea</t>
  </si>
  <si>
    <t>GIN</t>
  </si>
  <si>
    <t>Guyana</t>
  </si>
  <si>
    <t>GUY</t>
  </si>
  <si>
    <t>Haiti</t>
  </si>
  <si>
    <t>HTI</t>
  </si>
  <si>
    <t>Honduras</t>
  </si>
  <si>
    <t>HND</t>
  </si>
  <si>
    <t>Hong Kong</t>
  </si>
  <si>
    <t>HKG</t>
  </si>
  <si>
    <t>Hungary</t>
  </si>
  <si>
    <t>HUN</t>
  </si>
  <si>
    <t>Iceland</t>
  </si>
  <si>
    <t>ISL</t>
  </si>
  <si>
    <t>India</t>
  </si>
  <si>
    <t>IND</t>
  </si>
  <si>
    <t>Indonesia</t>
  </si>
  <si>
    <t>IDN</t>
  </si>
  <si>
    <t>Iran</t>
  </si>
  <si>
    <t>IRN</t>
  </si>
  <si>
    <t>Iraq</t>
  </si>
  <si>
    <t>IRQ</t>
  </si>
  <si>
    <t>Ireland</t>
  </si>
  <si>
    <t>IRL</t>
  </si>
  <si>
    <t>Isle of Man</t>
  </si>
  <si>
    <t>IMN</t>
  </si>
  <si>
    <t>Israel</t>
  </si>
  <si>
    <t>ISR</t>
  </si>
  <si>
    <t>Italy</t>
  </si>
  <si>
    <t>ITA</t>
  </si>
  <si>
    <t>Jamaica</t>
  </si>
  <si>
    <t>JAM</t>
  </si>
  <si>
    <t>JPN</t>
  </si>
  <si>
    <t>Jersey</t>
  </si>
  <si>
    <t>JEY</t>
  </si>
  <si>
    <t>Jordan</t>
  </si>
  <si>
    <t>JOR</t>
  </si>
  <si>
    <t>Kazakhstan</t>
  </si>
  <si>
    <t>KAZ</t>
  </si>
  <si>
    <t>Kenya</t>
  </si>
  <si>
    <t>KEN</t>
  </si>
  <si>
    <t>Kiribati</t>
  </si>
  <si>
    <t>KIR</t>
  </si>
  <si>
    <t>KOR</t>
  </si>
  <si>
    <t>North Korea</t>
  </si>
  <si>
    <t>PRK</t>
  </si>
  <si>
    <t>Kosovo</t>
  </si>
  <si>
    <t>KSV</t>
  </si>
  <si>
    <t>Kuwait</t>
  </si>
  <si>
    <t>KWT</t>
  </si>
  <si>
    <t>Kyrgyzstan</t>
  </si>
  <si>
    <t>KGZ</t>
  </si>
  <si>
    <t>Laos</t>
  </si>
  <si>
    <t>LAO</t>
  </si>
  <si>
    <t>Latvia</t>
  </si>
  <si>
    <t>LVA</t>
  </si>
  <si>
    <t>Lebanon</t>
  </si>
  <si>
    <t>LBN</t>
  </si>
  <si>
    <t>Lesotho</t>
  </si>
  <si>
    <t>LSO</t>
  </si>
  <si>
    <t>Liberia</t>
  </si>
  <si>
    <t>LBR</t>
  </si>
  <si>
    <t>Libya</t>
  </si>
  <si>
    <t>LBY</t>
  </si>
  <si>
    <t>Liechtenstein</t>
  </si>
  <si>
    <t>LIE</t>
  </si>
  <si>
    <t>Lithuania</t>
  </si>
  <si>
    <t>LTU</t>
  </si>
  <si>
    <t>Luxembourg</t>
  </si>
  <si>
    <t>LUX</t>
  </si>
  <si>
    <t>Macau</t>
  </si>
  <si>
    <t>MAC</t>
  </si>
  <si>
    <t>Macedonia</t>
  </si>
  <si>
    <t>MKD</t>
  </si>
  <si>
    <t>Madagascar</t>
  </si>
  <si>
    <t>MDG</t>
  </si>
  <si>
    <t>Malawi</t>
  </si>
  <si>
    <t>MWI</t>
  </si>
  <si>
    <t>Malaysia</t>
  </si>
  <si>
    <t>MYS</t>
  </si>
  <si>
    <t>Maldives</t>
  </si>
  <si>
    <t>MDV</t>
  </si>
  <si>
    <t>Mali</t>
  </si>
  <si>
    <t>MLI</t>
  </si>
  <si>
    <t>Malta</t>
  </si>
  <si>
    <t>MLT</t>
  </si>
  <si>
    <t>Marshall Islands</t>
  </si>
  <si>
    <t>MHL</t>
  </si>
  <si>
    <t>Mauritania</t>
  </si>
  <si>
    <t>MRT</t>
  </si>
  <si>
    <t>Mauritius</t>
  </si>
  <si>
    <t>MUS</t>
  </si>
  <si>
    <t>Mexico</t>
  </si>
  <si>
    <t>MEX</t>
  </si>
  <si>
    <t>Micronesia, Federated States of</t>
  </si>
  <si>
    <t>FSM</t>
  </si>
  <si>
    <t>Moldova</t>
  </si>
  <si>
    <t>MDA</t>
  </si>
  <si>
    <t>Monaco</t>
  </si>
  <si>
    <t>MCO</t>
  </si>
  <si>
    <t>Mongolia</t>
  </si>
  <si>
    <t>MNG</t>
  </si>
  <si>
    <t>Montenegro</t>
  </si>
  <si>
    <t>MNE</t>
  </si>
  <si>
    <t>Morocco</t>
  </si>
  <si>
    <t>MAR</t>
  </si>
  <si>
    <t>Mozambique</t>
  </si>
  <si>
    <t>MOZ</t>
  </si>
  <si>
    <t>Namibia</t>
  </si>
  <si>
    <t>NAM</t>
  </si>
  <si>
    <t>Nepal</t>
  </si>
  <si>
    <t>NPL</t>
  </si>
  <si>
    <t>Netherlands</t>
  </si>
  <si>
    <t>NLD</t>
  </si>
  <si>
    <t>New Caledonia</t>
  </si>
  <si>
    <t>NCL</t>
  </si>
  <si>
    <t>NZL</t>
  </si>
  <si>
    <t>Nicaragua</t>
  </si>
  <si>
    <t>NIC</t>
  </si>
  <si>
    <t>Nigeria</t>
  </si>
  <si>
    <t>NGA</t>
  </si>
  <si>
    <t>Niger</t>
  </si>
  <si>
    <t>NER</t>
  </si>
  <si>
    <t>Niue</t>
  </si>
  <si>
    <t>NIU</t>
  </si>
  <si>
    <t>Northern Mariana Islands</t>
  </si>
  <si>
    <t>MNP</t>
  </si>
  <si>
    <t>NOR</t>
  </si>
  <si>
    <t>Oman</t>
  </si>
  <si>
    <t>OMN</t>
  </si>
  <si>
    <t>Pakistan</t>
  </si>
  <si>
    <t>PAK</t>
  </si>
  <si>
    <t>Palau</t>
  </si>
  <si>
    <t>PLW</t>
  </si>
  <si>
    <t>Panama</t>
  </si>
  <si>
    <t>PAN</t>
  </si>
  <si>
    <t>Papua New Guinea</t>
  </si>
  <si>
    <t>PNG</t>
  </si>
  <si>
    <t>Paraguay</t>
  </si>
  <si>
    <t>PRY</t>
  </si>
  <si>
    <t>Peru</t>
  </si>
  <si>
    <t>PER</t>
  </si>
  <si>
    <t>Philippines</t>
  </si>
  <si>
    <t>PHL</t>
  </si>
  <si>
    <t>Poland</t>
  </si>
  <si>
    <t>POL</t>
  </si>
  <si>
    <t>Portugal</t>
  </si>
  <si>
    <t>PRT</t>
  </si>
  <si>
    <t>Puerto Rico</t>
  </si>
  <si>
    <t>PRI</t>
  </si>
  <si>
    <t>Qatar</t>
  </si>
  <si>
    <t>QAT</t>
  </si>
  <si>
    <t>Romania</t>
  </si>
  <si>
    <t>ROU</t>
  </si>
  <si>
    <t>Russia</t>
  </si>
  <si>
    <t>RUS</t>
  </si>
  <si>
    <t>Rwanda</t>
  </si>
  <si>
    <t>RWA</t>
  </si>
  <si>
    <t>Saint Kitts and Nevis</t>
  </si>
  <si>
    <t>KNA</t>
  </si>
  <si>
    <t>Saint Lucia</t>
  </si>
  <si>
    <t>LCA</t>
  </si>
  <si>
    <t>Saint Martin</t>
  </si>
  <si>
    <t>MAF</t>
  </si>
  <si>
    <t>Saint Pierre and Miquelon</t>
  </si>
  <si>
    <t>SPM</t>
  </si>
  <si>
    <t>Saint Vincent and the Grenadines</t>
  </si>
  <si>
    <t>VCT</t>
  </si>
  <si>
    <t>Samoa</t>
  </si>
  <si>
    <t>WSM</t>
  </si>
  <si>
    <t>San Marino</t>
  </si>
  <si>
    <t>SMR</t>
  </si>
  <si>
    <t>Sao Tome and Principe</t>
  </si>
  <si>
    <t>STP</t>
  </si>
  <si>
    <t>Saudi Arabia</t>
  </si>
  <si>
    <t>SAU</t>
  </si>
  <si>
    <t>Senegal</t>
  </si>
  <si>
    <t>SEN</t>
  </si>
  <si>
    <t>Serbia</t>
  </si>
  <si>
    <t>SRB</t>
  </si>
  <si>
    <t>Seychelles</t>
  </si>
  <si>
    <t>SYC</t>
  </si>
  <si>
    <t>Sierra Leone</t>
  </si>
  <si>
    <t>SLE</t>
  </si>
  <si>
    <t>Singapore</t>
  </si>
  <si>
    <t>SGP</t>
  </si>
  <si>
    <t>Sint Maarten</t>
  </si>
  <si>
    <t>SXM</t>
  </si>
  <si>
    <t>Slovakia</t>
  </si>
  <si>
    <t>SVK</t>
  </si>
  <si>
    <t>Slovenia</t>
  </si>
  <si>
    <t>SVN</t>
  </si>
  <si>
    <t>Solomon Islands</t>
  </si>
  <si>
    <t>SLB</t>
  </si>
  <si>
    <t>Somalia</t>
  </si>
  <si>
    <t>SOM</t>
  </si>
  <si>
    <t>South Africa</t>
  </si>
  <si>
    <t>ZAF</t>
  </si>
  <si>
    <t>South Sudan</t>
  </si>
  <si>
    <t>SSD</t>
  </si>
  <si>
    <t>Spain</t>
  </si>
  <si>
    <t>ESP</t>
  </si>
  <si>
    <t>Sri Lanka</t>
  </si>
  <si>
    <t>LKA</t>
  </si>
  <si>
    <t>Sudan</t>
  </si>
  <si>
    <t>SDN</t>
  </si>
  <si>
    <t>Suriname</t>
  </si>
  <si>
    <t>SUR</t>
  </si>
  <si>
    <t>Swaziland</t>
  </si>
  <si>
    <t>SWZ</t>
  </si>
  <si>
    <t>SWE</t>
  </si>
  <si>
    <t>CHE</t>
  </si>
  <si>
    <t>Syria</t>
  </si>
  <si>
    <t>SYR</t>
  </si>
  <si>
    <t>Taiwan</t>
  </si>
  <si>
    <t>TWN</t>
  </si>
  <si>
    <t>Tajikistan</t>
  </si>
  <si>
    <t>TJK</t>
  </si>
  <si>
    <t>Tanzania</t>
  </si>
  <si>
    <t>TZA</t>
  </si>
  <si>
    <t>Thailand</t>
  </si>
  <si>
    <t>THA</t>
  </si>
  <si>
    <t>Timor-Leste</t>
  </si>
  <si>
    <t>TLS</t>
  </si>
  <si>
    <t>Togo</t>
  </si>
  <si>
    <t>TGO</t>
  </si>
  <si>
    <t>Tonga</t>
  </si>
  <si>
    <t>TON</t>
  </si>
  <si>
    <t>Trinidad and Tobago</t>
  </si>
  <si>
    <t>TTO</t>
  </si>
  <si>
    <t>Tunisia</t>
  </si>
  <si>
    <t>TUN</t>
  </si>
  <si>
    <t>Turkey</t>
  </si>
  <si>
    <t>TUR</t>
  </si>
  <si>
    <t>Turkmenistan</t>
  </si>
  <si>
    <t>TKM</t>
  </si>
  <si>
    <t>Tuvalu</t>
  </si>
  <si>
    <t>TUV</t>
  </si>
  <si>
    <t>Uganda</t>
  </si>
  <si>
    <t>UGA</t>
  </si>
  <si>
    <t>Ukraine</t>
  </si>
  <si>
    <t>UKR</t>
  </si>
  <si>
    <t>United Arab Emirates</t>
  </si>
  <si>
    <t>ARE</t>
  </si>
  <si>
    <t>GBR</t>
  </si>
  <si>
    <t>USA</t>
  </si>
  <si>
    <t>Uruguay</t>
  </si>
  <si>
    <t>URY</t>
  </si>
  <si>
    <t>Uzbekistan</t>
  </si>
  <si>
    <t>UZB</t>
  </si>
  <si>
    <t>Vanuatu</t>
  </si>
  <si>
    <t>VUT</t>
  </si>
  <si>
    <t>Venezuela</t>
  </si>
  <si>
    <t>VEN</t>
  </si>
  <si>
    <t>Vietnam</t>
  </si>
  <si>
    <t>VNM</t>
  </si>
  <si>
    <t>Virgin Islands</t>
  </si>
  <si>
    <t>West Bank</t>
  </si>
  <si>
    <t>WBG</t>
  </si>
  <si>
    <t>Yemen</t>
  </si>
  <si>
    <t>YEM</t>
  </si>
  <si>
    <t>Zambia</t>
  </si>
  <si>
    <t>ZMB</t>
  </si>
  <si>
    <t>Zimbabwe</t>
  </si>
  <si>
    <t>ZWE</t>
  </si>
  <si>
    <t>Country Group</t>
  </si>
  <si>
    <t>usa-states</t>
  </si>
  <si>
    <t>Full Code</t>
  </si>
  <si>
    <t>House Price Index</t>
  </si>
  <si>
    <t>Save sheets to CSV</t>
  </si>
  <si>
    <t>Georgia (former USSR)</t>
  </si>
  <si>
    <t>JPNNGDP</t>
  </si>
  <si>
    <t>EUNNGDP</t>
  </si>
  <si>
    <t>UKNGDP</t>
  </si>
  <si>
    <t>GDP Total (local currency)</t>
  </si>
  <si>
    <t>GDPMC1</t>
  </si>
  <si>
    <t>Real</t>
  </si>
  <si>
    <t>AUSGDPRQPSMEI</t>
  </si>
  <si>
    <t>GDP YoY</t>
  </si>
  <si>
    <t>NAEXKP01JPQ657S</t>
  </si>
  <si>
    <t>AUSGDPRQDSMEI</t>
  </si>
  <si>
    <t>CANGDPNQDSMEI</t>
  </si>
  <si>
    <t>CHEGDPNQDSMEI</t>
  </si>
  <si>
    <t>NAEXKP01SEQ652S</t>
  </si>
  <si>
    <t>NAEXKP01NZQ189S</t>
  </si>
  <si>
    <t>UKUEILOR Index</t>
  </si>
  <si>
    <t>UKGRABIY Index</t>
  </si>
  <si>
    <t>Real GDP YoY</t>
  </si>
  <si>
    <t>Nominal GDP (local currency)</t>
  </si>
  <si>
    <t>UKGRYBHA Index</t>
  </si>
  <si>
    <t>GDP CQOQ Index</t>
  </si>
  <si>
    <t>GDP CUR$ Index</t>
  </si>
  <si>
    <t>USURTOT Index</t>
  </si>
  <si>
    <t>CRUEUN Index</t>
  </si>
  <si>
    <t>PRUEUER Index</t>
  </si>
  <si>
    <t>UMRTAT Index</t>
  </si>
  <si>
    <t>UMRTBE Index</t>
  </si>
  <si>
    <t>UMRTCY Index</t>
  </si>
  <si>
    <t>EGEAUT Index</t>
  </si>
  <si>
    <t>MOUER Index</t>
  </si>
  <si>
    <t>JNUE Index</t>
  </si>
  <si>
    <t>South Korea</t>
  </si>
  <si>
    <t>TWLFADJ Index</t>
  </si>
  <si>
    <t>CANLXEMR Index</t>
  </si>
  <si>
    <t>ARUERATE Index</t>
  </si>
  <si>
    <t>BBLACMFR Index</t>
  </si>
  <si>
    <t>BZUETOTN Index</t>
  </si>
  <si>
    <t>CHUETOTL Index</t>
  </si>
  <si>
    <t>COUNTOTN Index</t>
  </si>
  <si>
    <t>BCRDUNEM Index</t>
  </si>
  <si>
    <t>EDLBUETO Index</t>
  </si>
  <si>
    <t>JMLFTUER Index</t>
  </si>
  <si>
    <t>MXUEUNSA Index</t>
  </si>
  <si>
    <t>URURURT Index</t>
  </si>
  <si>
    <t>VNUEMTHY Index</t>
  </si>
  <si>
    <t>UMRTDK Index</t>
  </si>
  <si>
    <t>European Union</t>
  </si>
  <si>
    <t>UMRT27 Index</t>
  </si>
  <si>
    <t>UMRTEMU Index</t>
  </si>
  <si>
    <t>UMRTFI Index</t>
  </si>
  <si>
    <t>UMRTFR Index</t>
  </si>
  <si>
    <t>GILOURS Index</t>
  </si>
  <si>
    <t>UMRTGR Index</t>
  </si>
  <si>
    <t>ICUNEMRT Index</t>
  </si>
  <si>
    <t>IEUERT Index</t>
  </si>
  <si>
    <t>ITMUURS Index</t>
  </si>
  <si>
    <t>UMRTLU Index</t>
  </si>
  <si>
    <t>UMRTMT Index</t>
  </si>
  <si>
    <t>NEUETOTR Index</t>
  </si>
  <si>
    <t>NOLBRATE Index</t>
  </si>
  <si>
    <t>UMRTPT Index</t>
  </si>
  <si>
    <t>UMRTES Index</t>
  </si>
  <si>
    <t>SWUESART Index</t>
  </si>
  <si>
    <t>SZUEUEA Index</t>
  </si>
  <si>
    <t>UMRTBG Index</t>
  </si>
  <si>
    <t>CQUER Index</t>
  </si>
  <si>
    <t>UMRTCZ Index</t>
  </si>
  <si>
    <t>UMRTEE Index</t>
  </si>
  <si>
    <t>UMRTHU Index</t>
  </si>
  <si>
    <t>UMRTLV Index</t>
  </si>
  <si>
    <t>UMRTLT Index</t>
  </si>
  <si>
    <t>UMRTPL Index</t>
  </si>
  <si>
    <t>UMRTRO Index</t>
  </si>
  <si>
    <t>RUUER Index</t>
  </si>
  <si>
    <t>UMRTSK Index</t>
  </si>
  <si>
    <t>UMRTSI Index</t>
  </si>
  <si>
    <t>TULSUR Index</t>
  </si>
  <si>
    <t>UAUEILO Index</t>
  </si>
  <si>
    <t>ISUMUNER Index</t>
  </si>
  <si>
    <t>JOUERATE Index</t>
  </si>
  <si>
    <t>SAUERATQ Index</t>
  </si>
  <si>
    <t>AULFUNEM Index</t>
  </si>
  <si>
    <t>CNUERATE Index</t>
  </si>
  <si>
    <t>HKUERATE Index</t>
  </si>
  <si>
    <t>KAUERATE Index</t>
  </si>
  <si>
    <t>MOUNUNEM Index</t>
  </si>
  <si>
    <t>MAEPRATE Index</t>
  </si>
  <si>
    <t>NZLFUNER Index</t>
  </si>
  <si>
    <t>PHLFUERT Index</t>
  </si>
  <si>
    <t>SIQUTOTA Index</t>
  </si>
  <si>
    <t>KOEAUERS Index</t>
  </si>
  <si>
    <t>SKEMUNER Index</t>
  </si>
  <si>
    <t>THLMUERT Index</t>
  </si>
  <si>
    <t>GDP CHWG Index</t>
  </si>
  <si>
    <t>CGE9ANN Index</t>
  </si>
  <si>
    <t>MXGPLEVL Index</t>
  </si>
  <si>
    <t>ARADTOTL Index</t>
  </si>
  <si>
    <t>BZGDQOQ Index</t>
  </si>
  <si>
    <t>CLGDPSA Index</t>
  </si>
  <si>
    <t>COCIPIB Index</t>
  </si>
  <si>
    <t>CRADGDP Index</t>
  </si>
  <si>
    <t>EDGQTOTL Index</t>
  </si>
  <si>
    <t>EUGNEMU Index</t>
  </si>
  <si>
    <t>EU-27</t>
  </si>
  <si>
    <t>EUGNEU27 Index</t>
  </si>
  <si>
    <t>EU-15</t>
  </si>
  <si>
    <t>EUGNEU15 Index</t>
  </si>
  <si>
    <t>EUGNAT Index</t>
  </si>
  <si>
    <t>EUGNBE Index</t>
  </si>
  <si>
    <t>EUGNCY Index</t>
  </si>
  <si>
    <t>EUGNCZ Index</t>
  </si>
  <si>
    <t>EUGNDK Index</t>
  </si>
  <si>
    <t>EUGNEE Index</t>
  </si>
  <si>
    <t>EUGNFI Index</t>
  </si>
  <si>
    <t>EUGNFR Index</t>
  </si>
  <si>
    <t>EUGNDE Index</t>
  </si>
  <si>
    <t>EUGNGR Index</t>
  </si>
  <si>
    <t>EUGNHU Index</t>
  </si>
  <si>
    <t>EUGNIE Index</t>
  </si>
  <si>
    <t>EUGNIT Index</t>
  </si>
  <si>
    <t>EUGNLV Index</t>
  </si>
  <si>
    <t>EUGNLT Index</t>
  </si>
  <si>
    <t>EUGNLU Index</t>
  </si>
  <si>
    <t>EUGNMT Index</t>
  </si>
  <si>
    <t>EUGNNL Index</t>
  </si>
  <si>
    <t>NOGDCOSA Index</t>
  </si>
  <si>
    <t>EUGNPL Index</t>
  </si>
  <si>
    <t>EUGNPT Index</t>
  </si>
  <si>
    <t>RUDPGDPS Index</t>
  </si>
  <si>
    <t>EUGNSK Index</t>
  </si>
  <si>
    <t>EUGNSI Index</t>
  </si>
  <si>
    <t>EUGNES Index</t>
  </si>
  <si>
    <t>EUGNSE Index</t>
  </si>
  <si>
    <t>SZGDPC Index</t>
  </si>
  <si>
    <t>TUGPCOSA Index</t>
  </si>
  <si>
    <t>EUGNUK Index</t>
  </si>
  <si>
    <t>ISGSANYY Index</t>
  </si>
  <si>
    <t>KNGDPSA Index</t>
  </si>
  <si>
    <t>SADXGDE Index</t>
  </si>
  <si>
    <t>AUNAGDP Index</t>
  </si>
  <si>
    <t>CGGDPQOA Index</t>
  </si>
  <si>
    <t>JGDPAGDP Index</t>
  </si>
  <si>
    <t>NZNTEGDP Index</t>
  </si>
  <si>
    <t>PHNAGDPS Index</t>
  </si>
  <si>
    <t>SGDPQOQ Index</t>
  </si>
  <si>
    <t>KOECSTOT Index</t>
  </si>
  <si>
    <t>TWRGSAAR Index</t>
  </si>
  <si>
    <t>THG PQSA Index</t>
  </si>
  <si>
    <t>GDP QoQ (SAAR)</t>
  </si>
  <si>
    <t>CACPIYOY Index</t>
  </si>
  <si>
    <t>CPI YOY Index</t>
  </si>
  <si>
    <t>Bahamas</t>
  </si>
  <si>
    <t>BSCIALLY Index</t>
  </si>
  <si>
    <t>BBRPCYOY Index</t>
  </si>
  <si>
    <t>BZHHCPIY Index</t>
  </si>
  <si>
    <t>BRMCYOY Index</t>
  </si>
  <si>
    <t>BOPIIPCY Index</t>
  </si>
  <si>
    <t>BZPIIPCY Index</t>
  </si>
  <si>
    <t>CNPINSYO Index</t>
  </si>
  <si>
    <t>COCPIYOY Index</t>
  </si>
  <si>
    <t>CRCIYOY Index</t>
  </si>
  <si>
    <t>BCRDCPIY Index</t>
  </si>
  <si>
    <t>EDCPYOY Index</t>
  </si>
  <si>
    <t>ELCPINYO Index</t>
  </si>
  <si>
    <t>GUCPIYOY Index</t>
  </si>
  <si>
    <t>HNCPCPIY Index</t>
  </si>
  <si>
    <t>JMCPYOY Index</t>
  </si>
  <si>
    <t>MXCPYOY Index</t>
  </si>
  <si>
    <t>NIPIMNYY Index</t>
  </si>
  <si>
    <t>PNCPYOY Index</t>
  </si>
  <si>
    <t>PYCICHGY Index</t>
  </si>
  <si>
    <t>PRCPYOY Index</t>
  </si>
  <si>
    <t>RCPITOTY Index</t>
  </si>
  <si>
    <t>Trinidad &amp; Tobago</t>
  </si>
  <si>
    <t>RTPIYYRC Index</t>
  </si>
  <si>
    <t>URCPYOY Index</t>
  </si>
  <si>
    <t>VZCPYOY% Index</t>
  </si>
  <si>
    <t>ATCPYY10 Index</t>
  </si>
  <si>
    <t>BECPYOY Index</t>
  </si>
  <si>
    <t>CYCPNYOY Index</t>
  </si>
  <si>
    <t>DNCPIYOY Index</t>
  </si>
  <si>
    <t>ESCPLYOY Index</t>
  </si>
  <si>
    <t>ECCPEUY Index</t>
  </si>
  <si>
    <t>ECCPEMUY Index</t>
  </si>
  <si>
    <t>FICP2YOY Index</t>
  </si>
  <si>
    <t>FRCPIYOY Index</t>
  </si>
  <si>
    <t>GRCP20YY Index</t>
  </si>
  <si>
    <t>GKCPNEWY Index</t>
  </si>
  <si>
    <t>ICCPIYOY Index</t>
  </si>
  <si>
    <t>IECPIYOY Index</t>
  </si>
  <si>
    <t>ITCPNICY Index</t>
  </si>
  <si>
    <t>LXCPIYOY Index</t>
  </si>
  <si>
    <t>MTCPEHYY Index</t>
  </si>
  <si>
    <t>NECPIYOY Index</t>
  </si>
  <si>
    <t>NOCPIYOY Index</t>
  </si>
  <si>
    <t>PLCPYOY Index</t>
  </si>
  <si>
    <t>SPIPCYOY Index</t>
  </si>
  <si>
    <t>SWCPYOY Index</t>
  </si>
  <si>
    <t>SZCPIYOY Index</t>
  </si>
  <si>
    <t>UKRPCJYR Index</t>
  </si>
  <si>
    <t>AMPRCPIY Index</t>
  </si>
  <si>
    <t>PIRBCPIY Index</t>
  </si>
  <si>
    <t>Bosnia &amp; Herzegovina</t>
  </si>
  <si>
    <t>BYCPIYOY Index</t>
  </si>
  <si>
    <t>BUCPIYOY Index</t>
  </si>
  <si>
    <t>CQPCIYOY Index</t>
  </si>
  <si>
    <t>CZCPYOY Index</t>
  </si>
  <si>
    <t>GGCPALLY Index</t>
  </si>
  <si>
    <t>HUCPIYY Index</t>
  </si>
  <si>
    <t>LACPYOY Index</t>
  </si>
  <si>
    <t>LICPIYOY Index</t>
  </si>
  <si>
    <t>MDCPIYOY Index</t>
  </si>
  <si>
    <t>POCPIYOY Index</t>
  </si>
  <si>
    <t>ROCOPYOY Index</t>
  </si>
  <si>
    <t>RUCPIYOY Index</t>
  </si>
  <si>
    <t>SEHCYY Index</t>
  </si>
  <si>
    <t>SLCPLYOY Index</t>
  </si>
  <si>
    <t>SVCPYOY Index</t>
  </si>
  <si>
    <t>TUCPIY Index</t>
  </si>
  <si>
    <t>UACPTYOY Index</t>
  </si>
  <si>
    <t>Abu Dhabi</t>
  </si>
  <si>
    <t>ADCPIY Index</t>
  </si>
  <si>
    <t>AGCPIY Index</t>
  </si>
  <si>
    <t>AOCPYOY Index</t>
  </si>
  <si>
    <t>BJCPIYOY Index</t>
  </si>
  <si>
    <t>BWCPIYOY Index</t>
  </si>
  <si>
    <t>EGCPYOY Index</t>
  </si>
  <si>
    <t>GHCPALLY Index</t>
  </si>
  <si>
    <t>IACIGY Index</t>
  </si>
  <si>
    <t>IQPIGIY Index</t>
  </si>
  <si>
    <t>ISCPIYYN Index</t>
  </si>
  <si>
    <t>JOCPIYOY Index</t>
  </si>
  <si>
    <t>KNPRIYY Index</t>
  </si>
  <si>
    <t>KUCPIYOY Index</t>
  </si>
  <si>
    <t>LECMGY Index</t>
  </si>
  <si>
    <t>MOCPIYOY Index</t>
  </si>
  <si>
    <t>NCPIYOY Index</t>
  </si>
  <si>
    <t>NGCPIYOY Index</t>
  </si>
  <si>
    <t>OMCPIYOY Index</t>
  </si>
  <si>
    <t>QAPCGYOY Index</t>
  </si>
  <si>
    <t>SRCPIYOY Index</t>
  </si>
  <si>
    <t>SNHICPY Index</t>
  </si>
  <si>
    <t>SACPIYOY Index</t>
  </si>
  <si>
    <t>TNCPIYOY Index</t>
  </si>
  <si>
    <t>UAPIGY Index</t>
  </si>
  <si>
    <t>UGCPIYOY Index</t>
  </si>
  <si>
    <t>YEPIIAY Index</t>
  </si>
  <si>
    <t>ZMCPIYOY Index</t>
  </si>
  <si>
    <t>ZWCPINEY Index</t>
  </si>
  <si>
    <t>AUCPIYOY Index</t>
  </si>
  <si>
    <t>AZCPALLY Index</t>
  </si>
  <si>
    <t>BNINGENY Index</t>
  </si>
  <si>
    <t>KHCPIYOY Index</t>
  </si>
  <si>
    <t>CNCPIYOY Index</t>
  </si>
  <si>
    <t>FJCPYOY% Index</t>
  </si>
  <si>
    <t>HKCPIY Index</t>
  </si>
  <si>
    <t>INFUTOTY Index</t>
  </si>
  <si>
    <t>IDCPIY Index</t>
  </si>
  <si>
    <t>JNCPIYOY Index</t>
  </si>
  <si>
    <t>KACPYOY Index</t>
  </si>
  <si>
    <t>KYPICMYY Index</t>
  </si>
  <si>
    <t>MUCPIY Index</t>
  </si>
  <si>
    <t>MACPIYOY Index</t>
  </si>
  <si>
    <t>MVCPINFN Index</t>
  </si>
  <si>
    <t>MHCPI15 Index</t>
  </si>
  <si>
    <t>Myanmar</t>
  </si>
  <si>
    <t>MMPXINFL Index</t>
  </si>
  <si>
    <t>PACPGENY Index</t>
  </si>
  <si>
    <t>NPCPALLY Index</t>
  </si>
  <si>
    <t>NZCPIYOY Index</t>
  </si>
  <si>
    <t>PHC2II Index</t>
  </si>
  <si>
    <t>SICPIYOY Index</t>
  </si>
  <si>
    <t>KOCPIYOY Index</t>
  </si>
  <si>
    <t>SKCPYOY Index</t>
  </si>
  <si>
    <t>TWCPIYOY Index</t>
  </si>
  <si>
    <t>TJCPI Index</t>
  </si>
  <si>
    <t>THCPIYOY Index</t>
  </si>
  <si>
    <t>TLCPIY Index</t>
  </si>
  <si>
    <t>VNCPIYOY Index</t>
  </si>
  <si>
    <t>CPI YoY</t>
  </si>
  <si>
    <t>Markit Manufacturing PMIs</t>
  </si>
  <si>
    <t>MPMIBRMA Index</t>
  </si>
  <si>
    <t>MPMICAMA Index</t>
  </si>
  <si>
    <t>MPMIMXMA Index</t>
  </si>
  <si>
    <t>MPMIUSMA Index</t>
  </si>
  <si>
    <t>MPMIATMA Index</t>
  </si>
  <si>
    <t>MPMICZMA Index</t>
  </si>
  <si>
    <t>MPMIFRMA Index</t>
  </si>
  <si>
    <t>MPMIDEMA Index</t>
  </si>
  <si>
    <t>MPMIGRMA Index</t>
  </si>
  <si>
    <t>MPMIIEMA Index</t>
  </si>
  <si>
    <t>MPMIITMA Index</t>
  </si>
  <si>
    <t>MPMINLMA Index</t>
  </si>
  <si>
    <t>MPMIPLMA Index</t>
  </si>
  <si>
    <t>MPMIRUMA Index</t>
  </si>
  <si>
    <t>MPMIESMA Index</t>
  </si>
  <si>
    <t>MPMITRMA Index</t>
  </si>
  <si>
    <t>MPMIGBMA Index</t>
  </si>
  <si>
    <t>MPMICNMA Index</t>
  </si>
  <si>
    <t>MPMIINMA Index</t>
  </si>
  <si>
    <t>MPMIIDMA Index</t>
  </si>
  <si>
    <t>MPMIJPMA Index</t>
  </si>
  <si>
    <t>MPMIMYMA Index</t>
  </si>
  <si>
    <t>MPMIKRMA Index</t>
  </si>
  <si>
    <t>MPMITWMA Index</t>
  </si>
  <si>
    <t>MPMIVNMA Index</t>
  </si>
  <si>
    <t>MPMIEMMA Index</t>
  </si>
  <si>
    <t>MPMIEZMA Index</t>
  </si>
  <si>
    <t>MPMIEUMA Index</t>
  </si>
  <si>
    <t>MPMIGLMA Index</t>
  </si>
  <si>
    <t>Markit Service PMIs</t>
  </si>
  <si>
    <t>MPMIBRSA Index</t>
  </si>
  <si>
    <t>MPMIUSSA Index</t>
  </si>
  <si>
    <t>MPMIFRSA Index</t>
  </si>
  <si>
    <t>MPMIDESA Index</t>
  </si>
  <si>
    <t>MPMIIESA Index</t>
  </si>
  <si>
    <t>MPMIITSA Index</t>
  </si>
  <si>
    <t>MPMIRUSA Index</t>
  </si>
  <si>
    <t>MPMIESSA Index</t>
  </si>
  <si>
    <t>MPMIGBSA Index</t>
  </si>
  <si>
    <t>MPMICNSA Index</t>
  </si>
  <si>
    <t>MPMIINSA Index</t>
  </si>
  <si>
    <t>MPMIJPSA Index</t>
  </si>
  <si>
    <t>MPMIEMSA Index</t>
  </si>
  <si>
    <t>MPMIEUSA Index</t>
  </si>
  <si>
    <t>MPMIEZSA Index</t>
  </si>
  <si>
    <t>MPMIGLSA Index</t>
  </si>
  <si>
    <t>Markit Composite PMIs</t>
  </si>
  <si>
    <t>MPMIBRCA Index</t>
  </si>
  <si>
    <t>MPMIUSCA Index</t>
  </si>
  <si>
    <t>MPMIFRCA Index</t>
  </si>
  <si>
    <t>MPMIDECA Index</t>
  </si>
  <si>
    <t>MPMIIECA Index</t>
  </si>
  <si>
    <t>MPMIITCA Index</t>
  </si>
  <si>
    <t>MPMIRUCA Index</t>
  </si>
  <si>
    <t>MPMIESCA Index</t>
  </si>
  <si>
    <t>MPMIGBCA Index</t>
  </si>
  <si>
    <t>MPMICNCA Index</t>
  </si>
  <si>
    <t>MPMIINCA Index</t>
  </si>
  <si>
    <t>MPMIJPCA Index</t>
  </si>
  <si>
    <t>MPMIEMCA Index</t>
  </si>
  <si>
    <t>MPMIEUCA Index</t>
  </si>
  <si>
    <t>MPMIEZCA Index</t>
  </si>
  <si>
    <t>MPMIGLCA Index</t>
  </si>
  <si>
    <t>Markit Retail Surveys</t>
  </si>
  <si>
    <t>MPMIEZRA Index</t>
  </si>
  <si>
    <t>MPMIDERA Index</t>
  </si>
  <si>
    <t>MPMIFRRA Index</t>
  </si>
  <si>
    <t>MPMIITRA Index</t>
  </si>
  <si>
    <t>Markit Construction Surveys</t>
  </si>
  <si>
    <t>MPMIEZXA Index</t>
  </si>
  <si>
    <t>MPMIFRXA Index</t>
  </si>
  <si>
    <t>MPMIDEXA Index</t>
  </si>
  <si>
    <t>MPMIIEXA Index</t>
  </si>
  <si>
    <t>MPMIITXA Index</t>
  </si>
  <si>
    <t>MPMIGBXA Index</t>
  </si>
  <si>
    <t>Markit Whole Economy Surveys</t>
  </si>
  <si>
    <t>MPMIEGWA Index</t>
  </si>
  <si>
    <t>MPMIHKWA Index</t>
  </si>
  <si>
    <t>MPMIKEWA Index</t>
  </si>
  <si>
    <t>MPMILBWA Index</t>
  </si>
  <si>
    <t>MPMISAWA Index</t>
  </si>
  <si>
    <t>MPMISGWA Index</t>
  </si>
  <si>
    <t>MPMIZAWA Index</t>
  </si>
  <si>
    <t>MPMIAEWA Index</t>
  </si>
  <si>
    <t>Emerging Markets</t>
  </si>
  <si>
    <t>Global</t>
  </si>
  <si>
    <t>UAE</t>
  </si>
  <si>
    <t>Long Name</t>
  </si>
  <si>
    <t>USUSALA  Index</t>
  </si>
  <si>
    <t>USUSAL   Index</t>
  </si>
  <si>
    <t>USUSAZ   Index</t>
  </si>
  <si>
    <t>USUSAR   Index</t>
  </si>
  <si>
    <t>USUSCALI Index</t>
  </si>
  <si>
    <t>USUSCO   Index</t>
  </si>
  <si>
    <t>USUSCONN Index</t>
  </si>
  <si>
    <t>USUSDE   Index</t>
  </si>
  <si>
    <t>USUSFLA  Index</t>
  </si>
  <si>
    <t>USUSGA   Index</t>
  </si>
  <si>
    <t>USUSHA   Index</t>
  </si>
  <si>
    <t>USUSID   Index</t>
  </si>
  <si>
    <t>USUSILL  Index</t>
  </si>
  <si>
    <t>USUSIND  Index</t>
  </si>
  <si>
    <t>USUSIA   Index</t>
  </si>
  <si>
    <t>USUSKA   Index</t>
  </si>
  <si>
    <t>USUSKY   Index</t>
  </si>
  <si>
    <t>USUSLA   Index</t>
  </si>
  <si>
    <t>USUSME   Index</t>
  </si>
  <si>
    <t>USUSMD   Index</t>
  </si>
  <si>
    <t>USUSMASS Index</t>
  </si>
  <si>
    <t>USUSMICH Index</t>
  </si>
  <si>
    <t>USUSMINN Index</t>
  </si>
  <si>
    <t>USUSMISS Index</t>
  </si>
  <si>
    <t>USUSMO   Index</t>
  </si>
  <si>
    <t>USUSMT   Index</t>
  </si>
  <si>
    <t>USUSNEB  Index</t>
  </si>
  <si>
    <t>USUSNV   Index</t>
  </si>
  <si>
    <t>USUSNH   Index</t>
  </si>
  <si>
    <t>USUSNJ   Index</t>
  </si>
  <si>
    <t>USUSNM   Index</t>
  </si>
  <si>
    <t>USUSNY   Index</t>
  </si>
  <si>
    <t>USUSNC   Index</t>
  </si>
  <si>
    <t>USUSND   Index</t>
  </si>
  <si>
    <t>USUSOHIO Index</t>
  </si>
  <si>
    <t>USUSOK   Index</t>
  </si>
  <si>
    <t>USUSOREG Index</t>
  </si>
  <si>
    <t>USUSPENN Index</t>
  </si>
  <si>
    <t>USUSRI   Index</t>
  </si>
  <si>
    <t>USUSSC   Index</t>
  </si>
  <si>
    <t>USUSSD   Index</t>
  </si>
  <si>
    <t>USUSTENN Index</t>
  </si>
  <si>
    <t>USUSTX   Index</t>
  </si>
  <si>
    <t>USUSUTAH Index</t>
  </si>
  <si>
    <t>USUSVT   Index</t>
  </si>
  <si>
    <t>USUSVI   Index</t>
  </si>
  <si>
    <t>USUSWASH Index</t>
  </si>
  <si>
    <t>USUSWV   Index</t>
  </si>
  <si>
    <t>USUSWI   Index</t>
  </si>
  <si>
    <t>USUSWY   Index</t>
  </si>
  <si>
    <t>dev-europe</t>
  </si>
  <si>
    <t>em-europe</t>
  </si>
  <si>
    <t>world-liquid</t>
  </si>
  <si>
    <t>all-europe</t>
  </si>
  <si>
    <t>g10-ez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</si>
</sst>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1"/>
      <color theme="1"/>
      <name val="Calibri"/>
      <family val="2"/>
      <scheme val="minor"/>
    </font>
    <font>
      <sz val="8"/>
      <color rgb="FF000000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color rgb="FF000000"/>
      <name val="Arial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Arial"/>
      <family val="2"/>
    </font>
    <font>
      <sz val="8"/>
      <name val="Verdana"/>
      <family val="2"/>
    </font>
    <font>
      <b/>
      <sz val="11"/>
      <color indexed="9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4F81BD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6" fillId="0" borderId="0" applyNumberFormat="0" applyFill="0" applyBorder="0" applyAlignment="0" applyProtection="0"/>
    <xf numFmtId="0" fontId="7" fillId="0" borderId="1" applyNumberFormat="0" applyFill="0" applyAlignment="0" applyProtection="0"/>
    <xf numFmtId="0" fontId="8" fillId="0" borderId="2" applyNumberFormat="0" applyFill="0" applyAlignment="0" applyProtection="0"/>
    <xf numFmtId="0" fontId="9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10" fillId="3" borderId="0" applyNumberFormat="0" applyBorder="0" applyAlignment="0" applyProtection="0"/>
    <xf numFmtId="0" fontId="11" fillId="4" borderId="0" applyNumberFormat="0" applyBorder="0" applyAlignment="0" applyProtection="0"/>
    <xf numFmtId="0" fontId="12" fillId="5" borderId="0" applyNumberFormat="0" applyBorder="0" applyAlignment="0" applyProtection="0"/>
    <xf numFmtId="0" fontId="13" fillId="6" borderId="4" applyNumberFormat="0" applyAlignment="0" applyProtection="0"/>
    <xf numFmtId="0" fontId="14" fillId="7" borderId="5" applyNumberFormat="0" applyAlignment="0" applyProtection="0"/>
    <xf numFmtId="0" fontId="15" fillId="7" borderId="4" applyNumberFormat="0" applyAlignment="0" applyProtection="0"/>
    <xf numFmtId="0" fontId="16" fillId="0" borderId="6" applyNumberFormat="0" applyFill="0" applyAlignment="0" applyProtection="0"/>
    <xf numFmtId="0" fontId="17" fillId="8" borderId="7" applyNumberFormat="0" applyAlignment="0" applyProtection="0"/>
    <xf numFmtId="0" fontId="18" fillId="0" borderId="0" applyNumberFormat="0" applyFill="0" applyBorder="0" applyAlignment="0" applyProtection="0"/>
    <xf numFmtId="0" fontId="5" fillId="9" borderId="8" applyNumberFormat="0" applyFont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21" fillId="13" borderId="0" applyNumberFormat="0" applyBorder="0" applyAlignment="0" applyProtection="0"/>
    <xf numFmtId="0" fontId="21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21" fillId="17" borderId="0" applyNumberFormat="0" applyBorder="0" applyAlignment="0" applyProtection="0"/>
    <xf numFmtId="0" fontId="21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21" fillId="21" borderId="0" applyNumberFormat="0" applyBorder="0" applyAlignment="0" applyProtection="0"/>
    <xf numFmtId="0" fontId="21" fillId="22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21" fillId="25" borderId="0" applyNumberFormat="0" applyBorder="0" applyAlignment="0" applyProtection="0"/>
    <xf numFmtId="0" fontId="21" fillId="26" borderId="0" applyNumberFormat="0" applyBorder="0" applyAlignment="0" applyProtection="0"/>
    <xf numFmtId="0" fontId="5" fillId="27" borderId="0" applyNumberFormat="0" applyBorder="0" applyAlignment="0" applyProtection="0"/>
    <xf numFmtId="0" fontId="5" fillId="28" borderId="0" applyNumberFormat="0" applyBorder="0" applyAlignment="0" applyProtection="0"/>
    <xf numFmtId="0" fontId="21" fillId="29" borderId="0" applyNumberFormat="0" applyBorder="0" applyAlignment="0" applyProtection="0"/>
    <xf numFmtId="0" fontId="21" fillId="30" borderId="0" applyNumberFormat="0" applyBorder="0" applyAlignment="0" applyProtection="0"/>
    <xf numFmtId="0" fontId="5" fillId="31" borderId="0" applyNumberFormat="0" applyBorder="0" applyAlignment="0" applyProtection="0"/>
    <xf numFmtId="0" fontId="5" fillId="32" borderId="0" applyNumberFormat="0" applyBorder="0" applyAlignment="0" applyProtection="0"/>
    <xf numFmtId="0" fontId="21" fillId="33" borderId="0" applyNumberFormat="0" applyBorder="0" applyAlignment="0" applyProtection="0"/>
    <xf numFmtId="0" fontId="24" fillId="35" borderId="0"/>
  </cellStyleXfs>
  <cellXfs count="11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/>
    <xf numFmtId="0" fontId="2" fillId="2" borderId="0" xfId="0" applyFont="1" applyFill="1"/>
    <xf numFmtId="0" fontId="4" fillId="0" borderId="0" xfId="0" applyFont="1" applyAlignment="1">
      <alignment vertical="center"/>
    </xf>
    <xf numFmtId="0" fontId="1" fillId="34" borderId="0" xfId="0" applyFont="1" applyFill="1" applyAlignment="1">
      <alignment vertical="center"/>
    </xf>
    <xf numFmtId="0" fontId="2" fillId="34" borderId="0" xfId="0" applyFont="1" applyFill="1"/>
    <xf numFmtId="0" fontId="22" fillId="0" borderId="0" xfId="0" applyFont="1"/>
    <xf numFmtId="0" fontId="23" fillId="0" borderId="0" xfId="0" applyFont="1"/>
    <xf numFmtId="14" fontId="22" fillId="0" borderId="0" xfId="0" applyNumberFormat="1" applyFon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blp_column_header" xfId="42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4763</xdr:colOff>
          <xdr:row>3</xdr:row>
          <xdr:rowOff>0</xdr:rowOff>
        </xdr:from>
        <xdr:to>
          <xdr:col>3</xdr:col>
          <xdr:colOff>642938</xdr:colOff>
          <xdr:row>7</xdr:row>
          <xdr:rowOff>4763</xdr:rowOff>
        </xdr:to>
        <xdr:sp macro="" textlink="">
          <xdr:nvSpPr>
            <xdr:cNvPr id="6145" name="SaveButton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"/>
  <sheetViews>
    <sheetView workbookViewId="0">
      <selection activeCell="B4" sqref="B4"/>
    </sheetView>
  </sheetViews>
  <sheetFormatPr defaultRowHeight="10.15" x14ac:dyDescent="0.3"/>
  <cols>
    <col min="1" max="16384" width="9.06640625" style="2"/>
  </cols>
  <sheetData>
    <row r="2" spans="2:2" x14ac:dyDescent="0.3">
      <c r="B2" s="2" t="s">
        <v>579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SaveButton">
          <controlPr defaultSize="0" autoLine="0" autoPict="0" r:id="rId5">
            <anchor moveWithCells="1">
              <from>
                <xdr:col>1</xdr:col>
                <xdr:colOff>4763</xdr:colOff>
                <xdr:row>3</xdr:row>
                <xdr:rowOff>0</xdr:rowOff>
              </from>
              <to>
                <xdr:col>3</xdr:col>
                <xdr:colOff>642938</xdr:colOff>
                <xdr:row>7</xdr:row>
                <xdr:rowOff>4763</xdr:rowOff>
              </to>
            </anchor>
          </controlPr>
        </control>
      </mc:Choice>
      <mc:Fallback>
        <control shapeId="6145" r:id="rId4" name="Save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A1:J680"/>
  <sheetViews>
    <sheetView tabSelected="1" topLeftCell="A491" zoomScaleNormal="100" workbookViewId="0">
      <selection activeCell="B507" sqref="B507"/>
    </sheetView>
  </sheetViews>
  <sheetFormatPr defaultRowHeight="10.15" x14ac:dyDescent="0.3"/>
  <cols>
    <col min="1" max="1" width="25.59765625" style="2" customWidth="1"/>
    <col min="2" max="2" width="13.33203125" style="2" customWidth="1"/>
    <col min="3" max="4" width="20.59765625" style="2" customWidth="1"/>
    <col min="5" max="6" width="9.06640625" style="2"/>
    <col min="7" max="8" width="15.59765625" style="2" customWidth="1"/>
    <col min="9" max="16384" width="9.06640625" style="2"/>
  </cols>
  <sheetData>
    <row r="1" spans="1:10" s="3" customFormat="1" x14ac:dyDescent="0.3">
      <c r="A1" s="3" t="s">
        <v>577</v>
      </c>
      <c r="B1" s="3" t="s">
        <v>119</v>
      </c>
      <c r="C1" s="3" t="s">
        <v>123</v>
      </c>
      <c r="D1" s="3" t="s">
        <v>100</v>
      </c>
      <c r="E1" s="3" t="s">
        <v>105</v>
      </c>
      <c r="F1" s="3" t="s">
        <v>120</v>
      </c>
      <c r="G1" s="3" t="s">
        <v>122</v>
      </c>
      <c r="H1" s="3" t="s">
        <v>121</v>
      </c>
      <c r="I1" s="3" t="s">
        <v>137</v>
      </c>
      <c r="J1" s="3" t="s">
        <v>138</v>
      </c>
    </row>
    <row r="2" spans="1:10" x14ac:dyDescent="0.3">
      <c r="A2" s="2" t="str">
        <f>B2&amp;"-"&amp;C2</f>
        <v>Alabama-Total Nonfarm</v>
      </c>
      <c r="B2" s="2" t="s">
        <v>1</v>
      </c>
      <c r="C2" s="4" t="s">
        <v>125</v>
      </c>
      <c r="D2" s="4" t="s">
        <v>117</v>
      </c>
      <c r="E2" s="4" t="s">
        <v>103</v>
      </c>
      <c r="F2" s="1" t="str">
        <f>I2&amp;J2</f>
        <v>ALNA</v>
      </c>
      <c r="G2" s="2" t="str">
        <f>"FRED/"&amp;F2</f>
        <v>FRED/ALNA</v>
      </c>
      <c r="I2" s="1" t="s">
        <v>0</v>
      </c>
      <c r="J2" s="4" t="s">
        <v>101</v>
      </c>
    </row>
    <row r="3" spans="1:10" x14ac:dyDescent="0.3">
      <c r="A3" s="2" t="str">
        <f t="shared" ref="A3:A66" si="0">B3&amp;"-"&amp;C3</f>
        <v>Alaska-Total Nonfarm</v>
      </c>
      <c r="B3" s="2" t="s">
        <v>3</v>
      </c>
      <c r="C3" s="2" t="str">
        <f>C2</f>
        <v>Total Nonfarm</v>
      </c>
      <c r="D3" s="2" t="str">
        <f>D2</f>
        <v>All Employees: Total Nonfarm</v>
      </c>
      <c r="E3" s="2" t="str">
        <f>E2</f>
        <v>Monthly</v>
      </c>
      <c r="F3" s="1" t="str">
        <f t="shared" ref="F3:F51" si="1">I3&amp;J3</f>
        <v>AKNA</v>
      </c>
      <c r="G3" s="2" t="str">
        <f t="shared" ref="G3:G66" si="2">"FRED/"&amp;F3</f>
        <v>FRED/AKNA</v>
      </c>
      <c r="I3" s="1" t="s">
        <v>2</v>
      </c>
      <c r="J3" s="2" t="str">
        <f>J2</f>
        <v>NA</v>
      </c>
    </row>
    <row r="4" spans="1:10" x14ac:dyDescent="0.3">
      <c r="A4" s="2" t="str">
        <f t="shared" si="0"/>
        <v>Arizona-Total Nonfarm</v>
      </c>
      <c r="B4" s="2" t="s">
        <v>5</v>
      </c>
      <c r="C4" s="2" t="str">
        <f t="shared" ref="C4:C51" si="3">C3</f>
        <v>Total Nonfarm</v>
      </c>
      <c r="D4" s="2" t="str">
        <f t="shared" ref="D4:D51" si="4">D3</f>
        <v>All Employees: Total Nonfarm</v>
      </c>
      <c r="E4" s="2" t="str">
        <f t="shared" ref="E4:E51" si="5">E3</f>
        <v>Monthly</v>
      </c>
      <c r="F4" s="1" t="str">
        <f t="shared" si="1"/>
        <v>AZNA</v>
      </c>
      <c r="G4" s="2" t="str">
        <f t="shared" si="2"/>
        <v>FRED/AZNA</v>
      </c>
      <c r="I4" s="1" t="s">
        <v>4</v>
      </c>
      <c r="J4" s="2" t="str">
        <f t="shared" ref="J4:J51" si="6">J3</f>
        <v>NA</v>
      </c>
    </row>
    <row r="5" spans="1:10" x14ac:dyDescent="0.3">
      <c r="A5" s="2" t="str">
        <f t="shared" si="0"/>
        <v>Arkansas-Total Nonfarm</v>
      </c>
      <c r="B5" s="2" t="s">
        <v>7</v>
      </c>
      <c r="C5" s="2" t="str">
        <f t="shared" si="3"/>
        <v>Total Nonfarm</v>
      </c>
      <c r="D5" s="2" t="str">
        <f t="shared" si="4"/>
        <v>All Employees: Total Nonfarm</v>
      </c>
      <c r="E5" s="2" t="str">
        <f t="shared" si="5"/>
        <v>Monthly</v>
      </c>
      <c r="F5" s="1" t="str">
        <f t="shared" si="1"/>
        <v>ARNA</v>
      </c>
      <c r="G5" s="2" t="str">
        <f t="shared" si="2"/>
        <v>FRED/ARNA</v>
      </c>
      <c r="I5" s="1" t="s">
        <v>6</v>
      </c>
      <c r="J5" s="2" t="str">
        <f t="shared" si="6"/>
        <v>NA</v>
      </c>
    </row>
    <row r="6" spans="1:10" x14ac:dyDescent="0.3">
      <c r="A6" s="2" t="str">
        <f t="shared" si="0"/>
        <v>California-Total Nonfarm</v>
      </c>
      <c r="B6" s="2" t="s">
        <v>124</v>
      </c>
      <c r="C6" s="2" t="str">
        <f t="shared" si="3"/>
        <v>Total Nonfarm</v>
      </c>
      <c r="D6" s="2" t="str">
        <f t="shared" si="4"/>
        <v>All Employees: Total Nonfarm</v>
      </c>
      <c r="E6" s="2" t="str">
        <f t="shared" si="5"/>
        <v>Monthly</v>
      </c>
      <c r="F6" s="1" t="str">
        <f t="shared" si="1"/>
        <v>CANA</v>
      </c>
      <c r="G6" s="2" t="str">
        <f t="shared" si="2"/>
        <v>FRED/CANA</v>
      </c>
      <c r="I6" s="1" t="s">
        <v>8</v>
      </c>
      <c r="J6" s="2" t="str">
        <f t="shared" si="6"/>
        <v>NA</v>
      </c>
    </row>
    <row r="7" spans="1:10" x14ac:dyDescent="0.3">
      <c r="A7" s="2" t="str">
        <f t="shared" si="0"/>
        <v>Colorado-Total Nonfarm</v>
      </c>
      <c r="B7" s="2" t="s">
        <v>10</v>
      </c>
      <c r="C7" s="2" t="str">
        <f t="shared" si="3"/>
        <v>Total Nonfarm</v>
      </c>
      <c r="D7" s="2" t="str">
        <f t="shared" si="4"/>
        <v>All Employees: Total Nonfarm</v>
      </c>
      <c r="E7" s="2" t="str">
        <f t="shared" si="5"/>
        <v>Monthly</v>
      </c>
      <c r="F7" s="1" t="str">
        <f t="shared" si="1"/>
        <v>CONA</v>
      </c>
      <c r="G7" s="2" t="str">
        <f t="shared" si="2"/>
        <v>FRED/CONA</v>
      </c>
      <c r="I7" s="1" t="s">
        <v>9</v>
      </c>
      <c r="J7" s="2" t="str">
        <f t="shared" si="6"/>
        <v>NA</v>
      </c>
    </row>
    <row r="8" spans="1:10" x14ac:dyDescent="0.3">
      <c r="A8" s="2" t="str">
        <f t="shared" si="0"/>
        <v>Connecticut-Total Nonfarm</v>
      </c>
      <c r="B8" s="2" t="s">
        <v>12</v>
      </c>
      <c r="C8" s="2" t="str">
        <f t="shared" si="3"/>
        <v>Total Nonfarm</v>
      </c>
      <c r="D8" s="2" t="str">
        <f t="shared" si="4"/>
        <v>All Employees: Total Nonfarm</v>
      </c>
      <c r="E8" s="2" t="str">
        <f t="shared" si="5"/>
        <v>Monthly</v>
      </c>
      <c r="F8" s="1" t="str">
        <f t="shared" si="1"/>
        <v>CTNA</v>
      </c>
      <c r="G8" s="2" t="str">
        <f t="shared" si="2"/>
        <v>FRED/CTNA</v>
      </c>
      <c r="I8" s="1" t="s">
        <v>11</v>
      </c>
      <c r="J8" s="2" t="str">
        <f t="shared" si="6"/>
        <v>NA</v>
      </c>
    </row>
    <row r="9" spans="1:10" x14ac:dyDescent="0.3">
      <c r="A9" s="2" t="str">
        <f t="shared" si="0"/>
        <v>Delaware-Total Nonfarm</v>
      </c>
      <c r="B9" s="2" t="s">
        <v>14</v>
      </c>
      <c r="C9" s="2" t="str">
        <f t="shared" si="3"/>
        <v>Total Nonfarm</v>
      </c>
      <c r="D9" s="2" t="str">
        <f t="shared" si="4"/>
        <v>All Employees: Total Nonfarm</v>
      </c>
      <c r="E9" s="2" t="str">
        <f t="shared" si="5"/>
        <v>Monthly</v>
      </c>
      <c r="F9" s="1" t="str">
        <f t="shared" si="1"/>
        <v>DENA</v>
      </c>
      <c r="G9" s="2" t="str">
        <f t="shared" si="2"/>
        <v>FRED/DENA</v>
      </c>
      <c r="I9" s="1" t="s">
        <v>13</v>
      </c>
      <c r="J9" s="2" t="str">
        <f t="shared" si="6"/>
        <v>NA</v>
      </c>
    </row>
    <row r="10" spans="1:10" x14ac:dyDescent="0.3">
      <c r="A10" s="2" t="str">
        <f t="shared" si="0"/>
        <v>Florida-Total Nonfarm</v>
      </c>
      <c r="B10" s="2" t="s">
        <v>16</v>
      </c>
      <c r="C10" s="2" t="str">
        <f t="shared" si="3"/>
        <v>Total Nonfarm</v>
      </c>
      <c r="D10" s="2" t="str">
        <f t="shared" si="4"/>
        <v>All Employees: Total Nonfarm</v>
      </c>
      <c r="E10" s="2" t="str">
        <f t="shared" si="5"/>
        <v>Monthly</v>
      </c>
      <c r="F10" s="1" t="str">
        <f t="shared" si="1"/>
        <v>FLNA</v>
      </c>
      <c r="G10" s="2" t="str">
        <f t="shared" si="2"/>
        <v>FRED/FLNA</v>
      </c>
      <c r="I10" s="1" t="s">
        <v>15</v>
      </c>
      <c r="J10" s="2" t="str">
        <f t="shared" si="6"/>
        <v>NA</v>
      </c>
    </row>
    <row r="11" spans="1:10" x14ac:dyDescent="0.3">
      <c r="A11" s="2" t="str">
        <f t="shared" si="0"/>
        <v>Georgia-Total Nonfarm</v>
      </c>
      <c r="B11" s="2" t="s">
        <v>18</v>
      </c>
      <c r="C11" s="2" t="str">
        <f t="shared" si="3"/>
        <v>Total Nonfarm</v>
      </c>
      <c r="D11" s="2" t="str">
        <f t="shared" si="4"/>
        <v>All Employees: Total Nonfarm</v>
      </c>
      <c r="E11" s="2" t="str">
        <f t="shared" si="5"/>
        <v>Monthly</v>
      </c>
      <c r="F11" s="1" t="str">
        <f t="shared" si="1"/>
        <v>GANA</v>
      </c>
      <c r="G11" s="2" t="str">
        <f t="shared" si="2"/>
        <v>FRED/GANA</v>
      </c>
      <c r="I11" s="1" t="s">
        <v>17</v>
      </c>
      <c r="J11" s="2" t="str">
        <f t="shared" si="6"/>
        <v>NA</v>
      </c>
    </row>
    <row r="12" spans="1:10" x14ac:dyDescent="0.3">
      <c r="A12" s="2" t="str">
        <f t="shared" si="0"/>
        <v>Hawaii-Total Nonfarm</v>
      </c>
      <c r="B12" s="2" t="s">
        <v>20</v>
      </c>
      <c r="C12" s="2" t="str">
        <f t="shared" si="3"/>
        <v>Total Nonfarm</v>
      </c>
      <c r="D12" s="2" t="str">
        <f t="shared" si="4"/>
        <v>All Employees: Total Nonfarm</v>
      </c>
      <c r="E12" s="2" t="str">
        <f t="shared" si="5"/>
        <v>Monthly</v>
      </c>
      <c r="F12" s="1" t="str">
        <f t="shared" si="1"/>
        <v>HINA</v>
      </c>
      <c r="G12" s="2" t="str">
        <f t="shared" si="2"/>
        <v>FRED/HINA</v>
      </c>
      <c r="I12" s="1" t="s">
        <v>19</v>
      </c>
      <c r="J12" s="2" t="str">
        <f t="shared" si="6"/>
        <v>NA</v>
      </c>
    </row>
    <row r="13" spans="1:10" x14ac:dyDescent="0.3">
      <c r="A13" s="2" t="str">
        <f t="shared" si="0"/>
        <v>Idaho-Total Nonfarm</v>
      </c>
      <c r="B13" s="2" t="s">
        <v>22</v>
      </c>
      <c r="C13" s="2" t="str">
        <f t="shared" si="3"/>
        <v>Total Nonfarm</v>
      </c>
      <c r="D13" s="2" t="str">
        <f t="shared" si="4"/>
        <v>All Employees: Total Nonfarm</v>
      </c>
      <c r="E13" s="2" t="str">
        <f t="shared" si="5"/>
        <v>Monthly</v>
      </c>
      <c r="F13" s="1" t="str">
        <f t="shared" si="1"/>
        <v>IDNA</v>
      </c>
      <c r="G13" s="2" t="str">
        <f t="shared" si="2"/>
        <v>FRED/IDNA</v>
      </c>
      <c r="I13" s="1" t="s">
        <v>21</v>
      </c>
      <c r="J13" s="2" t="str">
        <f t="shared" si="6"/>
        <v>NA</v>
      </c>
    </row>
    <row r="14" spans="1:10" x14ac:dyDescent="0.3">
      <c r="A14" s="2" t="str">
        <f t="shared" si="0"/>
        <v>Illinois-Total Nonfarm</v>
      </c>
      <c r="B14" s="2" t="s">
        <v>24</v>
      </c>
      <c r="C14" s="2" t="str">
        <f t="shared" si="3"/>
        <v>Total Nonfarm</v>
      </c>
      <c r="D14" s="2" t="str">
        <f t="shared" si="4"/>
        <v>All Employees: Total Nonfarm</v>
      </c>
      <c r="E14" s="2" t="str">
        <f t="shared" si="5"/>
        <v>Monthly</v>
      </c>
      <c r="F14" s="1" t="str">
        <f t="shared" si="1"/>
        <v>ILNA</v>
      </c>
      <c r="G14" s="2" t="str">
        <f t="shared" si="2"/>
        <v>FRED/ILNA</v>
      </c>
      <c r="I14" s="1" t="s">
        <v>23</v>
      </c>
      <c r="J14" s="2" t="str">
        <f t="shared" si="6"/>
        <v>NA</v>
      </c>
    </row>
    <row r="15" spans="1:10" x14ac:dyDescent="0.3">
      <c r="A15" s="2" t="str">
        <f t="shared" si="0"/>
        <v>Indiana-Total Nonfarm</v>
      </c>
      <c r="B15" s="2" t="s">
        <v>26</v>
      </c>
      <c r="C15" s="2" t="str">
        <f t="shared" si="3"/>
        <v>Total Nonfarm</v>
      </c>
      <c r="D15" s="2" t="str">
        <f t="shared" si="4"/>
        <v>All Employees: Total Nonfarm</v>
      </c>
      <c r="E15" s="2" t="str">
        <f t="shared" si="5"/>
        <v>Monthly</v>
      </c>
      <c r="F15" s="1" t="str">
        <f t="shared" si="1"/>
        <v>INNA</v>
      </c>
      <c r="G15" s="2" t="str">
        <f t="shared" si="2"/>
        <v>FRED/INNA</v>
      </c>
      <c r="I15" s="1" t="s">
        <v>25</v>
      </c>
      <c r="J15" s="2" t="str">
        <f t="shared" si="6"/>
        <v>NA</v>
      </c>
    </row>
    <row r="16" spans="1:10" x14ac:dyDescent="0.3">
      <c r="A16" s="2" t="str">
        <f t="shared" si="0"/>
        <v>Iowa-Total Nonfarm</v>
      </c>
      <c r="B16" s="2" t="s">
        <v>28</v>
      </c>
      <c r="C16" s="2" t="str">
        <f t="shared" si="3"/>
        <v>Total Nonfarm</v>
      </c>
      <c r="D16" s="2" t="str">
        <f t="shared" si="4"/>
        <v>All Employees: Total Nonfarm</v>
      </c>
      <c r="E16" s="2" t="str">
        <f t="shared" si="5"/>
        <v>Monthly</v>
      </c>
      <c r="F16" s="1" t="str">
        <f t="shared" si="1"/>
        <v>IANA</v>
      </c>
      <c r="G16" s="2" t="str">
        <f t="shared" si="2"/>
        <v>FRED/IANA</v>
      </c>
      <c r="I16" s="1" t="s">
        <v>27</v>
      </c>
      <c r="J16" s="2" t="str">
        <f t="shared" si="6"/>
        <v>NA</v>
      </c>
    </row>
    <row r="17" spans="1:10" x14ac:dyDescent="0.3">
      <c r="A17" s="2" t="str">
        <f t="shared" si="0"/>
        <v>Kansas-Total Nonfarm</v>
      </c>
      <c r="B17" s="2" t="s">
        <v>30</v>
      </c>
      <c r="C17" s="2" t="str">
        <f t="shared" si="3"/>
        <v>Total Nonfarm</v>
      </c>
      <c r="D17" s="2" t="str">
        <f t="shared" si="4"/>
        <v>All Employees: Total Nonfarm</v>
      </c>
      <c r="E17" s="2" t="str">
        <f t="shared" si="5"/>
        <v>Monthly</v>
      </c>
      <c r="F17" s="1" t="str">
        <f t="shared" si="1"/>
        <v>KSNA</v>
      </c>
      <c r="G17" s="2" t="str">
        <f t="shared" si="2"/>
        <v>FRED/KSNA</v>
      </c>
      <c r="I17" s="1" t="s">
        <v>29</v>
      </c>
      <c r="J17" s="2" t="str">
        <f t="shared" si="6"/>
        <v>NA</v>
      </c>
    </row>
    <row r="18" spans="1:10" x14ac:dyDescent="0.3">
      <c r="A18" s="2" t="str">
        <f t="shared" si="0"/>
        <v>Kentucky-Total Nonfarm</v>
      </c>
      <c r="B18" s="2" t="s">
        <v>32</v>
      </c>
      <c r="C18" s="2" t="str">
        <f t="shared" si="3"/>
        <v>Total Nonfarm</v>
      </c>
      <c r="D18" s="2" t="str">
        <f t="shared" si="4"/>
        <v>All Employees: Total Nonfarm</v>
      </c>
      <c r="E18" s="2" t="str">
        <f t="shared" si="5"/>
        <v>Monthly</v>
      </c>
      <c r="F18" s="1" t="str">
        <f t="shared" si="1"/>
        <v>KYNA</v>
      </c>
      <c r="G18" s="2" t="str">
        <f t="shared" si="2"/>
        <v>FRED/KYNA</v>
      </c>
      <c r="I18" s="1" t="s">
        <v>31</v>
      </c>
      <c r="J18" s="2" t="str">
        <f t="shared" si="6"/>
        <v>NA</v>
      </c>
    </row>
    <row r="19" spans="1:10" x14ac:dyDescent="0.3">
      <c r="A19" s="2" t="str">
        <f t="shared" si="0"/>
        <v>Louisiana-Total Nonfarm</v>
      </c>
      <c r="B19" s="2" t="s">
        <v>34</v>
      </c>
      <c r="C19" s="2" t="str">
        <f t="shared" si="3"/>
        <v>Total Nonfarm</v>
      </c>
      <c r="D19" s="2" t="str">
        <f t="shared" si="4"/>
        <v>All Employees: Total Nonfarm</v>
      </c>
      <c r="E19" s="2" t="str">
        <f t="shared" si="5"/>
        <v>Monthly</v>
      </c>
      <c r="F19" s="1" t="str">
        <f t="shared" si="1"/>
        <v>LANA</v>
      </c>
      <c r="G19" s="2" t="str">
        <f t="shared" si="2"/>
        <v>FRED/LANA</v>
      </c>
      <c r="I19" s="1" t="s">
        <v>33</v>
      </c>
      <c r="J19" s="2" t="str">
        <f t="shared" si="6"/>
        <v>NA</v>
      </c>
    </row>
    <row r="20" spans="1:10" x14ac:dyDescent="0.3">
      <c r="A20" s="2" t="str">
        <f t="shared" si="0"/>
        <v>Maine-Total Nonfarm</v>
      </c>
      <c r="B20" s="2" t="s">
        <v>36</v>
      </c>
      <c r="C20" s="2" t="str">
        <f t="shared" si="3"/>
        <v>Total Nonfarm</v>
      </c>
      <c r="D20" s="2" t="str">
        <f t="shared" si="4"/>
        <v>All Employees: Total Nonfarm</v>
      </c>
      <c r="E20" s="2" t="str">
        <f t="shared" si="5"/>
        <v>Monthly</v>
      </c>
      <c r="F20" s="1" t="str">
        <f t="shared" si="1"/>
        <v>MENA</v>
      </c>
      <c r="G20" s="2" t="str">
        <f t="shared" si="2"/>
        <v>FRED/MENA</v>
      </c>
      <c r="I20" s="1" t="s">
        <v>35</v>
      </c>
      <c r="J20" s="2" t="str">
        <f t="shared" si="6"/>
        <v>NA</v>
      </c>
    </row>
    <row r="21" spans="1:10" x14ac:dyDescent="0.3">
      <c r="A21" s="2" t="str">
        <f t="shared" si="0"/>
        <v>Maryland-Total Nonfarm</v>
      </c>
      <c r="B21" s="2" t="s">
        <v>38</v>
      </c>
      <c r="C21" s="2" t="str">
        <f t="shared" si="3"/>
        <v>Total Nonfarm</v>
      </c>
      <c r="D21" s="2" t="str">
        <f t="shared" si="4"/>
        <v>All Employees: Total Nonfarm</v>
      </c>
      <c r="E21" s="2" t="str">
        <f t="shared" si="5"/>
        <v>Monthly</v>
      </c>
      <c r="F21" s="1" t="str">
        <f t="shared" si="1"/>
        <v>MDNA</v>
      </c>
      <c r="G21" s="2" t="str">
        <f t="shared" si="2"/>
        <v>FRED/MDNA</v>
      </c>
      <c r="I21" s="1" t="s">
        <v>37</v>
      </c>
      <c r="J21" s="2" t="str">
        <f t="shared" si="6"/>
        <v>NA</v>
      </c>
    </row>
    <row r="22" spans="1:10" x14ac:dyDescent="0.3">
      <c r="A22" s="2" t="str">
        <f t="shared" si="0"/>
        <v>Massachusetts-Total Nonfarm</v>
      </c>
      <c r="B22" s="2" t="s">
        <v>40</v>
      </c>
      <c r="C22" s="2" t="str">
        <f t="shared" si="3"/>
        <v>Total Nonfarm</v>
      </c>
      <c r="D22" s="2" t="str">
        <f t="shared" si="4"/>
        <v>All Employees: Total Nonfarm</v>
      </c>
      <c r="E22" s="2" t="str">
        <f t="shared" si="5"/>
        <v>Monthly</v>
      </c>
      <c r="F22" s="1" t="str">
        <f t="shared" si="1"/>
        <v>MANA</v>
      </c>
      <c r="G22" s="2" t="str">
        <f t="shared" si="2"/>
        <v>FRED/MANA</v>
      </c>
      <c r="I22" s="1" t="s">
        <v>39</v>
      </c>
      <c r="J22" s="2" t="str">
        <f t="shared" si="6"/>
        <v>NA</v>
      </c>
    </row>
    <row r="23" spans="1:10" x14ac:dyDescent="0.3">
      <c r="A23" s="2" t="str">
        <f t="shared" si="0"/>
        <v>Michigan-Total Nonfarm</v>
      </c>
      <c r="B23" s="2" t="s">
        <v>42</v>
      </c>
      <c r="C23" s="2" t="str">
        <f t="shared" si="3"/>
        <v>Total Nonfarm</v>
      </c>
      <c r="D23" s="2" t="str">
        <f t="shared" si="4"/>
        <v>All Employees: Total Nonfarm</v>
      </c>
      <c r="E23" s="2" t="str">
        <f t="shared" si="5"/>
        <v>Monthly</v>
      </c>
      <c r="F23" s="1" t="str">
        <f t="shared" si="1"/>
        <v>MINA</v>
      </c>
      <c r="G23" s="2" t="str">
        <f t="shared" si="2"/>
        <v>FRED/MINA</v>
      </c>
      <c r="I23" s="1" t="s">
        <v>41</v>
      </c>
      <c r="J23" s="2" t="str">
        <f t="shared" si="6"/>
        <v>NA</v>
      </c>
    </row>
    <row r="24" spans="1:10" x14ac:dyDescent="0.3">
      <c r="A24" s="2" t="str">
        <f t="shared" si="0"/>
        <v>Minnesota-Total Nonfarm</v>
      </c>
      <c r="B24" s="2" t="s">
        <v>44</v>
      </c>
      <c r="C24" s="2" t="str">
        <f t="shared" si="3"/>
        <v>Total Nonfarm</v>
      </c>
      <c r="D24" s="2" t="str">
        <f t="shared" si="4"/>
        <v>All Employees: Total Nonfarm</v>
      </c>
      <c r="E24" s="2" t="str">
        <f t="shared" si="5"/>
        <v>Monthly</v>
      </c>
      <c r="F24" s="1" t="str">
        <f t="shared" si="1"/>
        <v>MNNA</v>
      </c>
      <c r="G24" s="2" t="str">
        <f t="shared" si="2"/>
        <v>FRED/MNNA</v>
      </c>
      <c r="I24" s="1" t="s">
        <v>43</v>
      </c>
      <c r="J24" s="2" t="str">
        <f t="shared" si="6"/>
        <v>NA</v>
      </c>
    </row>
    <row r="25" spans="1:10" x14ac:dyDescent="0.3">
      <c r="A25" s="2" t="str">
        <f t="shared" si="0"/>
        <v>Mississippi-Total Nonfarm</v>
      </c>
      <c r="B25" s="2" t="s">
        <v>46</v>
      </c>
      <c r="C25" s="2" t="str">
        <f t="shared" si="3"/>
        <v>Total Nonfarm</v>
      </c>
      <c r="D25" s="2" t="str">
        <f t="shared" si="4"/>
        <v>All Employees: Total Nonfarm</v>
      </c>
      <c r="E25" s="2" t="str">
        <f t="shared" si="5"/>
        <v>Monthly</v>
      </c>
      <c r="F25" s="1" t="str">
        <f t="shared" si="1"/>
        <v>MSNA</v>
      </c>
      <c r="G25" s="2" t="str">
        <f t="shared" si="2"/>
        <v>FRED/MSNA</v>
      </c>
      <c r="I25" s="1" t="s">
        <v>45</v>
      </c>
      <c r="J25" s="2" t="str">
        <f t="shared" si="6"/>
        <v>NA</v>
      </c>
    </row>
    <row r="26" spans="1:10" x14ac:dyDescent="0.3">
      <c r="A26" s="2" t="str">
        <f t="shared" si="0"/>
        <v>Missouri-Total Nonfarm</v>
      </c>
      <c r="B26" s="2" t="s">
        <v>48</v>
      </c>
      <c r="C26" s="2" t="str">
        <f t="shared" si="3"/>
        <v>Total Nonfarm</v>
      </c>
      <c r="D26" s="2" t="str">
        <f t="shared" si="4"/>
        <v>All Employees: Total Nonfarm</v>
      </c>
      <c r="E26" s="2" t="str">
        <f t="shared" si="5"/>
        <v>Monthly</v>
      </c>
      <c r="F26" s="1" t="str">
        <f t="shared" si="1"/>
        <v>MONA</v>
      </c>
      <c r="G26" s="2" t="str">
        <f t="shared" si="2"/>
        <v>FRED/MONA</v>
      </c>
      <c r="I26" s="1" t="s">
        <v>47</v>
      </c>
      <c r="J26" s="2" t="str">
        <f t="shared" si="6"/>
        <v>NA</v>
      </c>
    </row>
    <row r="27" spans="1:10" x14ac:dyDescent="0.3">
      <c r="A27" s="2" t="str">
        <f t="shared" si="0"/>
        <v>Montana-Total Nonfarm</v>
      </c>
      <c r="B27" s="2" t="s">
        <v>50</v>
      </c>
      <c r="C27" s="2" t="str">
        <f t="shared" si="3"/>
        <v>Total Nonfarm</v>
      </c>
      <c r="D27" s="2" t="str">
        <f t="shared" si="4"/>
        <v>All Employees: Total Nonfarm</v>
      </c>
      <c r="E27" s="2" t="str">
        <f t="shared" si="5"/>
        <v>Monthly</v>
      </c>
      <c r="F27" s="1" t="str">
        <f t="shared" si="1"/>
        <v>MTNA</v>
      </c>
      <c r="G27" s="2" t="str">
        <f t="shared" si="2"/>
        <v>FRED/MTNA</v>
      </c>
      <c r="I27" s="1" t="s">
        <v>49</v>
      </c>
      <c r="J27" s="2" t="str">
        <f t="shared" si="6"/>
        <v>NA</v>
      </c>
    </row>
    <row r="28" spans="1:10" x14ac:dyDescent="0.3">
      <c r="A28" s="2" t="str">
        <f t="shared" si="0"/>
        <v>Nebraska-Total Nonfarm</v>
      </c>
      <c r="B28" s="2" t="s">
        <v>52</v>
      </c>
      <c r="C28" s="2" t="str">
        <f t="shared" si="3"/>
        <v>Total Nonfarm</v>
      </c>
      <c r="D28" s="2" t="str">
        <f t="shared" si="4"/>
        <v>All Employees: Total Nonfarm</v>
      </c>
      <c r="E28" s="2" t="str">
        <f t="shared" si="5"/>
        <v>Monthly</v>
      </c>
      <c r="F28" s="1" t="str">
        <f t="shared" si="1"/>
        <v>NENA</v>
      </c>
      <c r="G28" s="2" t="str">
        <f t="shared" si="2"/>
        <v>FRED/NENA</v>
      </c>
      <c r="I28" s="1" t="s">
        <v>51</v>
      </c>
      <c r="J28" s="2" t="str">
        <f t="shared" si="6"/>
        <v>NA</v>
      </c>
    </row>
    <row r="29" spans="1:10" x14ac:dyDescent="0.3">
      <c r="A29" s="2" t="str">
        <f t="shared" si="0"/>
        <v>Nevada-Total Nonfarm</v>
      </c>
      <c r="B29" s="2" t="s">
        <v>54</v>
      </c>
      <c r="C29" s="2" t="str">
        <f t="shared" si="3"/>
        <v>Total Nonfarm</v>
      </c>
      <c r="D29" s="2" t="str">
        <f t="shared" si="4"/>
        <v>All Employees: Total Nonfarm</v>
      </c>
      <c r="E29" s="2" t="str">
        <f t="shared" si="5"/>
        <v>Monthly</v>
      </c>
      <c r="F29" s="1" t="str">
        <f t="shared" si="1"/>
        <v>NVNA</v>
      </c>
      <c r="G29" s="2" t="str">
        <f t="shared" si="2"/>
        <v>FRED/NVNA</v>
      </c>
      <c r="I29" s="1" t="s">
        <v>53</v>
      </c>
      <c r="J29" s="2" t="str">
        <f t="shared" si="6"/>
        <v>NA</v>
      </c>
    </row>
    <row r="30" spans="1:10" x14ac:dyDescent="0.3">
      <c r="A30" s="2" t="str">
        <f t="shared" si="0"/>
        <v>New Hampshire-Total Nonfarm</v>
      </c>
      <c r="B30" s="2" t="s">
        <v>56</v>
      </c>
      <c r="C30" s="2" t="str">
        <f t="shared" si="3"/>
        <v>Total Nonfarm</v>
      </c>
      <c r="D30" s="2" t="str">
        <f t="shared" si="4"/>
        <v>All Employees: Total Nonfarm</v>
      </c>
      <c r="E30" s="2" t="str">
        <f t="shared" si="5"/>
        <v>Monthly</v>
      </c>
      <c r="F30" s="1" t="str">
        <f t="shared" si="1"/>
        <v>NHNA</v>
      </c>
      <c r="G30" s="2" t="str">
        <f t="shared" si="2"/>
        <v>FRED/NHNA</v>
      </c>
      <c r="I30" s="1" t="s">
        <v>55</v>
      </c>
      <c r="J30" s="2" t="str">
        <f t="shared" si="6"/>
        <v>NA</v>
      </c>
    </row>
    <row r="31" spans="1:10" x14ac:dyDescent="0.3">
      <c r="A31" s="2" t="str">
        <f t="shared" si="0"/>
        <v>New Jersey-Total Nonfarm</v>
      </c>
      <c r="B31" s="2" t="s">
        <v>58</v>
      </c>
      <c r="C31" s="2" t="str">
        <f t="shared" si="3"/>
        <v>Total Nonfarm</v>
      </c>
      <c r="D31" s="2" t="str">
        <f t="shared" si="4"/>
        <v>All Employees: Total Nonfarm</v>
      </c>
      <c r="E31" s="2" t="str">
        <f t="shared" si="5"/>
        <v>Monthly</v>
      </c>
      <c r="F31" s="1" t="str">
        <f t="shared" si="1"/>
        <v>NJNA</v>
      </c>
      <c r="G31" s="2" t="str">
        <f t="shared" si="2"/>
        <v>FRED/NJNA</v>
      </c>
      <c r="I31" s="1" t="s">
        <v>57</v>
      </c>
      <c r="J31" s="2" t="str">
        <f t="shared" si="6"/>
        <v>NA</v>
      </c>
    </row>
    <row r="32" spans="1:10" x14ac:dyDescent="0.3">
      <c r="A32" s="2" t="str">
        <f t="shared" si="0"/>
        <v>New Mexico-Total Nonfarm</v>
      </c>
      <c r="B32" s="2" t="s">
        <v>60</v>
      </c>
      <c r="C32" s="2" t="str">
        <f t="shared" si="3"/>
        <v>Total Nonfarm</v>
      </c>
      <c r="D32" s="2" t="str">
        <f t="shared" si="4"/>
        <v>All Employees: Total Nonfarm</v>
      </c>
      <c r="E32" s="2" t="str">
        <f t="shared" si="5"/>
        <v>Monthly</v>
      </c>
      <c r="F32" s="1" t="str">
        <f t="shared" si="1"/>
        <v>NMNA</v>
      </c>
      <c r="G32" s="2" t="str">
        <f t="shared" si="2"/>
        <v>FRED/NMNA</v>
      </c>
      <c r="I32" s="1" t="s">
        <v>59</v>
      </c>
      <c r="J32" s="2" t="str">
        <f t="shared" si="6"/>
        <v>NA</v>
      </c>
    </row>
    <row r="33" spans="1:10" x14ac:dyDescent="0.3">
      <c r="A33" s="2" t="str">
        <f t="shared" si="0"/>
        <v>New York-Total Nonfarm</v>
      </c>
      <c r="B33" s="2" t="s">
        <v>62</v>
      </c>
      <c r="C33" s="2" t="str">
        <f t="shared" si="3"/>
        <v>Total Nonfarm</v>
      </c>
      <c r="D33" s="2" t="str">
        <f t="shared" si="4"/>
        <v>All Employees: Total Nonfarm</v>
      </c>
      <c r="E33" s="2" t="str">
        <f t="shared" si="5"/>
        <v>Monthly</v>
      </c>
      <c r="F33" s="1" t="str">
        <f t="shared" si="1"/>
        <v>NYNA</v>
      </c>
      <c r="G33" s="2" t="str">
        <f t="shared" si="2"/>
        <v>FRED/NYNA</v>
      </c>
      <c r="I33" s="1" t="s">
        <v>61</v>
      </c>
      <c r="J33" s="2" t="str">
        <f t="shared" si="6"/>
        <v>NA</v>
      </c>
    </row>
    <row r="34" spans="1:10" x14ac:dyDescent="0.3">
      <c r="A34" s="2" t="str">
        <f t="shared" si="0"/>
        <v>North Carolina-Total Nonfarm</v>
      </c>
      <c r="B34" s="2" t="s">
        <v>64</v>
      </c>
      <c r="C34" s="2" t="str">
        <f t="shared" si="3"/>
        <v>Total Nonfarm</v>
      </c>
      <c r="D34" s="2" t="str">
        <f t="shared" si="4"/>
        <v>All Employees: Total Nonfarm</v>
      </c>
      <c r="E34" s="2" t="str">
        <f t="shared" si="5"/>
        <v>Monthly</v>
      </c>
      <c r="F34" s="1" t="str">
        <f t="shared" si="1"/>
        <v>NCNA</v>
      </c>
      <c r="G34" s="2" t="str">
        <f t="shared" si="2"/>
        <v>FRED/NCNA</v>
      </c>
      <c r="I34" s="1" t="s">
        <v>63</v>
      </c>
      <c r="J34" s="2" t="str">
        <f t="shared" si="6"/>
        <v>NA</v>
      </c>
    </row>
    <row r="35" spans="1:10" x14ac:dyDescent="0.3">
      <c r="A35" s="2" t="str">
        <f t="shared" si="0"/>
        <v>North Dakota-Total Nonfarm</v>
      </c>
      <c r="B35" s="2" t="s">
        <v>66</v>
      </c>
      <c r="C35" s="2" t="str">
        <f t="shared" si="3"/>
        <v>Total Nonfarm</v>
      </c>
      <c r="D35" s="2" t="str">
        <f t="shared" si="4"/>
        <v>All Employees: Total Nonfarm</v>
      </c>
      <c r="E35" s="2" t="str">
        <f t="shared" si="5"/>
        <v>Monthly</v>
      </c>
      <c r="F35" s="1" t="str">
        <f t="shared" si="1"/>
        <v>NDNA</v>
      </c>
      <c r="G35" s="2" t="str">
        <f t="shared" si="2"/>
        <v>FRED/NDNA</v>
      </c>
      <c r="I35" s="1" t="s">
        <v>65</v>
      </c>
      <c r="J35" s="2" t="str">
        <f t="shared" si="6"/>
        <v>NA</v>
      </c>
    </row>
    <row r="36" spans="1:10" x14ac:dyDescent="0.3">
      <c r="A36" s="2" t="str">
        <f t="shared" si="0"/>
        <v>Ohio-Total Nonfarm</v>
      </c>
      <c r="B36" s="2" t="s">
        <v>68</v>
      </c>
      <c r="C36" s="2" t="str">
        <f t="shared" si="3"/>
        <v>Total Nonfarm</v>
      </c>
      <c r="D36" s="2" t="str">
        <f t="shared" si="4"/>
        <v>All Employees: Total Nonfarm</v>
      </c>
      <c r="E36" s="2" t="str">
        <f t="shared" si="5"/>
        <v>Monthly</v>
      </c>
      <c r="F36" s="1" t="str">
        <f t="shared" si="1"/>
        <v>OHNA</v>
      </c>
      <c r="G36" s="2" t="str">
        <f t="shared" si="2"/>
        <v>FRED/OHNA</v>
      </c>
      <c r="I36" s="1" t="s">
        <v>67</v>
      </c>
      <c r="J36" s="2" t="str">
        <f t="shared" si="6"/>
        <v>NA</v>
      </c>
    </row>
    <row r="37" spans="1:10" x14ac:dyDescent="0.3">
      <c r="A37" s="2" t="str">
        <f t="shared" si="0"/>
        <v>Oklahoma-Total Nonfarm</v>
      </c>
      <c r="B37" s="2" t="s">
        <v>70</v>
      </c>
      <c r="C37" s="2" t="str">
        <f t="shared" si="3"/>
        <v>Total Nonfarm</v>
      </c>
      <c r="D37" s="2" t="str">
        <f t="shared" si="4"/>
        <v>All Employees: Total Nonfarm</v>
      </c>
      <c r="E37" s="2" t="str">
        <f t="shared" si="5"/>
        <v>Monthly</v>
      </c>
      <c r="F37" s="1" t="str">
        <f t="shared" si="1"/>
        <v>OKNA</v>
      </c>
      <c r="G37" s="2" t="str">
        <f t="shared" si="2"/>
        <v>FRED/OKNA</v>
      </c>
      <c r="I37" s="1" t="s">
        <v>69</v>
      </c>
      <c r="J37" s="2" t="str">
        <f t="shared" si="6"/>
        <v>NA</v>
      </c>
    </row>
    <row r="38" spans="1:10" x14ac:dyDescent="0.3">
      <c r="A38" s="2" t="str">
        <f t="shared" si="0"/>
        <v>Oregon-Total Nonfarm</v>
      </c>
      <c r="B38" s="2" t="s">
        <v>72</v>
      </c>
      <c r="C38" s="2" t="str">
        <f t="shared" si="3"/>
        <v>Total Nonfarm</v>
      </c>
      <c r="D38" s="2" t="str">
        <f t="shared" si="4"/>
        <v>All Employees: Total Nonfarm</v>
      </c>
      <c r="E38" s="2" t="str">
        <f t="shared" si="5"/>
        <v>Monthly</v>
      </c>
      <c r="F38" s="1" t="str">
        <f t="shared" si="1"/>
        <v>ORNA</v>
      </c>
      <c r="G38" s="2" t="str">
        <f t="shared" si="2"/>
        <v>FRED/ORNA</v>
      </c>
      <c r="I38" s="1" t="s">
        <v>71</v>
      </c>
      <c r="J38" s="2" t="str">
        <f t="shared" si="6"/>
        <v>NA</v>
      </c>
    </row>
    <row r="39" spans="1:10" x14ac:dyDescent="0.3">
      <c r="A39" s="2" t="str">
        <f t="shared" si="0"/>
        <v>Pennsylvania-Total Nonfarm</v>
      </c>
      <c r="B39" s="2" t="s">
        <v>74</v>
      </c>
      <c r="C39" s="2" t="str">
        <f t="shared" si="3"/>
        <v>Total Nonfarm</v>
      </c>
      <c r="D39" s="2" t="str">
        <f t="shared" si="4"/>
        <v>All Employees: Total Nonfarm</v>
      </c>
      <c r="E39" s="2" t="str">
        <f t="shared" si="5"/>
        <v>Monthly</v>
      </c>
      <c r="F39" s="1" t="str">
        <f t="shared" si="1"/>
        <v>PANA</v>
      </c>
      <c r="G39" s="2" t="str">
        <f t="shared" si="2"/>
        <v>FRED/PANA</v>
      </c>
      <c r="I39" s="1" t="s">
        <v>73</v>
      </c>
      <c r="J39" s="2" t="str">
        <f t="shared" si="6"/>
        <v>NA</v>
      </c>
    </row>
    <row r="40" spans="1:10" x14ac:dyDescent="0.3">
      <c r="A40" s="2" t="str">
        <f t="shared" si="0"/>
        <v>Rhode Island-Total Nonfarm</v>
      </c>
      <c r="B40" s="2" t="s">
        <v>76</v>
      </c>
      <c r="C40" s="2" t="str">
        <f t="shared" si="3"/>
        <v>Total Nonfarm</v>
      </c>
      <c r="D40" s="2" t="str">
        <f t="shared" si="4"/>
        <v>All Employees: Total Nonfarm</v>
      </c>
      <c r="E40" s="2" t="str">
        <f t="shared" si="5"/>
        <v>Monthly</v>
      </c>
      <c r="F40" s="1" t="str">
        <f t="shared" si="1"/>
        <v>RINA</v>
      </c>
      <c r="G40" s="2" t="str">
        <f t="shared" si="2"/>
        <v>FRED/RINA</v>
      </c>
      <c r="I40" s="1" t="s">
        <v>75</v>
      </c>
      <c r="J40" s="2" t="str">
        <f t="shared" si="6"/>
        <v>NA</v>
      </c>
    </row>
    <row r="41" spans="1:10" x14ac:dyDescent="0.3">
      <c r="A41" s="2" t="str">
        <f t="shared" si="0"/>
        <v>South Carolina-Total Nonfarm</v>
      </c>
      <c r="B41" s="2" t="s">
        <v>78</v>
      </c>
      <c r="C41" s="2" t="str">
        <f t="shared" si="3"/>
        <v>Total Nonfarm</v>
      </c>
      <c r="D41" s="2" t="str">
        <f t="shared" si="4"/>
        <v>All Employees: Total Nonfarm</v>
      </c>
      <c r="E41" s="2" t="str">
        <f t="shared" si="5"/>
        <v>Monthly</v>
      </c>
      <c r="F41" s="1" t="str">
        <f t="shared" si="1"/>
        <v>SCNA</v>
      </c>
      <c r="G41" s="2" t="str">
        <f t="shared" si="2"/>
        <v>FRED/SCNA</v>
      </c>
      <c r="I41" s="1" t="s">
        <v>77</v>
      </c>
      <c r="J41" s="2" t="str">
        <f t="shared" si="6"/>
        <v>NA</v>
      </c>
    </row>
    <row r="42" spans="1:10" x14ac:dyDescent="0.3">
      <c r="A42" s="2" t="str">
        <f t="shared" si="0"/>
        <v>South Dakota-Total Nonfarm</v>
      </c>
      <c r="B42" s="2" t="s">
        <v>80</v>
      </c>
      <c r="C42" s="2" t="str">
        <f t="shared" si="3"/>
        <v>Total Nonfarm</v>
      </c>
      <c r="D42" s="2" t="str">
        <f t="shared" si="4"/>
        <v>All Employees: Total Nonfarm</v>
      </c>
      <c r="E42" s="2" t="str">
        <f t="shared" si="5"/>
        <v>Monthly</v>
      </c>
      <c r="F42" s="1" t="str">
        <f t="shared" si="1"/>
        <v>SDNA</v>
      </c>
      <c r="G42" s="2" t="str">
        <f t="shared" si="2"/>
        <v>FRED/SDNA</v>
      </c>
      <c r="I42" s="1" t="s">
        <v>79</v>
      </c>
      <c r="J42" s="2" t="str">
        <f t="shared" si="6"/>
        <v>NA</v>
      </c>
    </row>
    <row r="43" spans="1:10" x14ac:dyDescent="0.3">
      <c r="A43" s="2" t="str">
        <f t="shared" si="0"/>
        <v>Tennessee-Total Nonfarm</v>
      </c>
      <c r="B43" s="2" t="s">
        <v>82</v>
      </c>
      <c r="C43" s="2" t="str">
        <f t="shared" si="3"/>
        <v>Total Nonfarm</v>
      </c>
      <c r="D43" s="2" t="str">
        <f t="shared" si="4"/>
        <v>All Employees: Total Nonfarm</v>
      </c>
      <c r="E43" s="2" t="str">
        <f t="shared" si="5"/>
        <v>Monthly</v>
      </c>
      <c r="F43" s="1" t="str">
        <f t="shared" si="1"/>
        <v>TNNA</v>
      </c>
      <c r="G43" s="2" t="str">
        <f t="shared" si="2"/>
        <v>FRED/TNNA</v>
      </c>
      <c r="I43" s="1" t="s">
        <v>81</v>
      </c>
      <c r="J43" s="2" t="str">
        <f t="shared" si="6"/>
        <v>NA</v>
      </c>
    </row>
    <row r="44" spans="1:10" x14ac:dyDescent="0.3">
      <c r="A44" s="2" t="str">
        <f t="shared" si="0"/>
        <v>Texas-Total Nonfarm</v>
      </c>
      <c r="B44" s="2" t="s">
        <v>84</v>
      </c>
      <c r="C44" s="2" t="str">
        <f t="shared" si="3"/>
        <v>Total Nonfarm</v>
      </c>
      <c r="D44" s="2" t="str">
        <f t="shared" si="4"/>
        <v>All Employees: Total Nonfarm</v>
      </c>
      <c r="E44" s="2" t="str">
        <f t="shared" si="5"/>
        <v>Monthly</v>
      </c>
      <c r="F44" s="1" t="str">
        <f t="shared" si="1"/>
        <v>TXNA</v>
      </c>
      <c r="G44" s="2" t="str">
        <f t="shared" si="2"/>
        <v>FRED/TXNA</v>
      </c>
      <c r="I44" s="1" t="s">
        <v>83</v>
      </c>
      <c r="J44" s="2" t="str">
        <f t="shared" si="6"/>
        <v>NA</v>
      </c>
    </row>
    <row r="45" spans="1:10" x14ac:dyDescent="0.3">
      <c r="A45" s="2" t="str">
        <f t="shared" si="0"/>
        <v>Utah-Total Nonfarm</v>
      </c>
      <c r="B45" s="2" t="s">
        <v>86</v>
      </c>
      <c r="C45" s="2" t="str">
        <f t="shared" si="3"/>
        <v>Total Nonfarm</v>
      </c>
      <c r="D45" s="2" t="str">
        <f t="shared" si="4"/>
        <v>All Employees: Total Nonfarm</v>
      </c>
      <c r="E45" s="2" t="str">
        <f t="shared" si="5"/>
        <v>Monthly</v>
      </c>
      <c r="F45" s="1" t="str">
        <f t="shared" si="1"/>
        <v>UTNA</v>
      </c>
      <c r="G45" s="2" t="str">
        <f t="shared" si="2"/>
        <v>FRED/UTNA</v>
      </c>
      <c r="I45" s="1" t="s">
        <v>85</v>
      </c>
      <c r="J45" s="2" t="str">
        <f t="shared" si="6"/>
        <v>NA</v>
      </c>
    </row>
    <row r="46" spans="1:10" x14ac:dyDescent="0.3">
      <c r="A46" s="2" t="str">
        <f t="shared" si="0"/>
        <v>Vermont-Total Nonfarm</v>
      </c>
      <c r="B46" s="2" t="s">
        <v>88</v>
      </c>
      <c r="C46" s="2" t="str">
        <f t="shared" si="3"/>
        <v>Total Nonfarm</v>
      </c>
      <c r="D46" s="2" t="str">
        <f t="shared" si="4"/>
        <v>All Employees: Total Nonfarm</v>
      </c>
      <c r="E46" s="2" t="str">
        <f t="shared" si="5"/>
        <v>Monthly</v>
      </c>
      <c r="F46" s="1" t="str">
        <f t="shared" si="1"/>
        <v>VTNA</v>
      </c>
      <c r="G46" s="2" t="str">
        <f t="shared" si="2"/>
        <v>FRED/VTNA</v>
      </c>
      <c r="I46" s="1" t="s">
        <v>87</v>
      </c>
      <c r="J46" s="2" t="str">
        <f t="shared" si="6"/>
        <v>NA</v>
      </c>
    </row>
    <row r="47" spans="1:10" x14ac:dyDescent="0.3">
      <c r="A47" s="2" t="str">
        <f t="shared" si="0"/>
        <v>Virginia-Total Nonfarm</v>
      </c>
      <c r="B47" s="2" t="s">
        <v>90</v>
      </c>
      <c r="C47" s="2" t="str">
        <f t="shared" si="3"/>
        <v>Total Nonfarm</v>
      </c>
      <c r="D47" s="2" t="str">
        <f t="shared" si="4"/>
        <v>All Employees: Total Nonfarm</v>
      </c>
      <c r="E47" s="2" t="str">
        <f t="shared" si="5"/>
        <v>Monthly</v>
      </c>
      <c r="F47" s="1" t="str">
        <f t="shared" si="1"/>
        <v>VANA</v>
      </c>
      <c r="G47" s="2" t="str">
        <f t="shared" si="2"/>
        <v>FRED/VANA</v>
      </c>
      <c r="I47" s="1" t="s">
        <v>89</v>
      </c>
      <c r="J47" s="2" t="str">
        <f t="shared" si="6"/>
        <v>NA</v>
      </c>
    </row>
    <row r="48" spans="1:10" x14ac:dyDescent="0.3">
      <c r="A48" s="2" t="str">
        <f t="shared" si="0"/>
        <v>Washington-Total Nonfarm</v>
      </c>
      <c r="B48" s="2" t="s">
        <v>92</v>
      </c>
      <c r="C48" s="2" t="str">
        <f t="shared" si="3"/>
        <v>Total Nonfarm</v>
      </c>
      <c r="D48" s="2" t="str">
        <f t="shared" si="4"/>
        <v>All Employees: Total Nonfarm</v>
      </c>
      <c r="E48" s="2" t="str">
        <f t="shared" si="5"/>
        <v>Monthly</v>
      </c>
      <c r="F48" s="1" t="str">
        <f t="shared" si="1"/>
        <v>WANA</v>
      </c>
      <c r="G48" s="2" t="str">
        <f t="shared" si="2"/>
        <v>FRED/WANA</v>
      </c>
      <c r="I48" s="1" t="s">
        <v>91</v>
      </c>
      <c r="J48" s="2" t="str">
        <f t="shared" si="6"/>
        <v>NA</v>
      </c>
    </row>
    <row r="49" spans="1:10" x14ac:dyDescent="0.3">
      <c r="A49" s="2" t="str">
        <f t="shared" si="0"/>
        <v>West Virginia-Total Nonfarm</v>
      </c>
      <c r="B49" s="2" t="s">
        <v>94</v>
      </c>
      <c r="C49" s="2" t="str">
        <f t="shared" si="3"/>
        <v>Total Nonfarm</v>
      </c>
      <c r="D49" s="2" t="str">
        <f t="shared" si="4"/>
        <v>All Employees: Total Nonfarm</v>
      </c>
      <c r="E49" s="2" t="str">
        <f t="shared" si="5"/>
        <v>Monthly</v>
      </c>
      <c r="F49" s="1" t="str">
        <f t="shared" si="1"/>
        <v>WVNA</v>
      </c>
      <c r="G49" s="2" t="str">
        <f t="shared" si="2"/>
        <v>FRED/WVNA</v>
      </c>
      <c r="I49" s="1" t="s">
        <v>93</v>
      </c>
      <c r="J49" s="2" t="str">
        <f t="shared" si="6"/>
        <v>NA</v>
      </c>
    </row>
    <row r="50" spans="1:10" x14ac:dyDescent="0.3">
      <c r="A50" s="2" t="str">
        <f t="shared" si="0"/>
        <v>Wisconsin-Total Nonfarm</v>
      </c>
      <c r="B50" s="2" t="s">
        <v>96</v>
      </c>
      <c r="C50" s="2" t="str">
        <f t="shared" si="3"/>
        <v>Total Nonfarm</v>
      </c>
      <c r="D50" s="2" t="str">
        <f t="shared" si="4"/>
        <v>All Employees: Total Nonfarm</v>
      </c>
      <c r="E50" s="2" t="str">
        <f t="shared" si="5"/>
        <v>Monthly</v>
      </c>
      <c r="F50" s="1" t="str">
        <f t="shared" si="1"/>
        <v>WINA</v>
      </c>
      <c r="G50" s="2" t="str">
        <f t="shared" si="2"/>
        <v>FRED/WINA</v>
      </c>
      <c r="I50" s="1" t="s">
        <v>95</v>
      </c>
      <c r="J50" s="2" t="str">
        <f t="shared" si="6"/>
        <v>NA</v>
      </c>
    </row>
    <row r="51" spans="1:10" x14ac:dyDescent="0.3">
      <c r="A51" s="2" t="str">
        <f t="shared" si="0"/>
        <v>Wyoming-Total Nonfarm</v>
      </c>
      <c r="B51" s="2" t="s">
        <v>98</v>
      </c>
      <c r="C51" s="2" t="str">
        <f t="shared" si="3"/>
        <v>Total Nonfarm</v>
      </c>
      <c r="D51" s="2" t="str">
        <f t="shared" si="4"/>
        <v>All Employees: Total Nonfarm</v>
      </c>
      <c r="E51" s="2" t="str">
        <f t="shared" si="5"/>
        <v>Monthly</v>
      </c>
      <c r="F51" s="1" t="str">
        <f t="shared" si="1"/>
        <v>WYNA</v>
      </c>
      <c r="G51" s="2" t="str">
        <f t="shared" si="2"/>
        <v>FRED/WYNA</v>
      </c>
      <c r="I51" s="1" t="s">
        <v>97</v>
      </c>
      <c r="J51" s="2" t="str">
        <f t="shared" si="6"/>
        <v>NA</v>
      </c>
    </row>
    <row r="52" spans="1:10" x14ac:dyDescent="0.3">
      <c r="A52" s="2" t="str">
        <f t="shared" si="0"/>
        <v>Alabama-Real GDP</v>
      </c>
      <c r="B52" s="2" t="s">
        <v>1</v>
      </c>
      <c r="C52" s="4" t="s">
        <v>140</v>
      </c>
      <c r="D52" s="4" t="s">
        <v>118</v>
      </c>
      <c r="E52" s="4" t="s">
        <v>139</v>
      </c>
      <c r="F52" s="1" t="str">
        <f>I52&amp;J52</f>
        <v>ALRGSP</v>
      </c>
      <c r="G52" s="2" t="str">
        <f>"FRED/"&amp;F52</f>
        <v>FRED/ALRGSP</v>
      </c>
      <c r="I52" s="1" t="s">
        <v>0</v>
      </c>
      <c r="J52" s="4" t="s">
        <v>102</v>
      </c>
    </row>
    <row r="53" spans="1:10" x14ac:dyDescent="0.3">
      <c r="A53" s="2" t="str">
        <f t="shared" si="0"/>
        <v>Alaska-Real GDP</v>
      </c>
      <c r="B53" s="2" t="s">
        <v>3</v>
      </c>
      <c r="C53" s="2" t="str">
        <f>C52</f>
        <v>Real GDP</v>
      </c>
      <c r="D53" s="2" t="str">
        <f>D52</f>
        <v>Real Total Gross Domestic Product</v>
      </c>
      <c r="E53" s="2" t="str">
        <f>E52</f>
        <v>Quarterly</v>
      </c>
      <c r="F53" s="1" t="str">
        <f t="shared" ref="F53:F101" si="7">I53&amp;J53</f>
        <v>AKRGSP</v>
      </c>
      <c r="G53" s="2" t="str">
        <f t="shared" si="2"/>
        <v>FRED/AKRGSP</v>
      </c>
      <c r="I53" s="1" t="s">
        <v>2</v>
      </c>
      <c r="J53" s="2" t="str">
        <f>J52</f>
        <v>RGSP</v>
      </c>
    </row>
    <row r="54" spans="1:10" x14ac:dyDescent="0.3">
      <c r="A54" s="2" t="str">
        <f t="shared" si="0"/>
        <v>Arizona-Real GDP</v>
      </c>
      <c r="B54" s="2" t="s">
        <v>5</v>
      </c>
      <c r="C54" s="2" t="str">
        <f t="shared" ref="C54:C101" si="8">C53</f>
        <v>Real GDP</v>
      </c>
      <c r="D54" s="2" t="str">
        <f t="shared" ref="D54:D101" si="9">D53</f>
        <v>Real Total Gross Domestic Product</v>
      </c>
      <c r="E54" s="2" t="str">
        <f t="shared" ref="E54:E101" si="10">E53</f>
        <v>Quarterly</v>
      </c>
      <c r="F54" s="1" t="str">
        <f t="shared" si="7"/>
        <v>AZRGSP</v>
      </c>
      <c r="G54" s="2" t="str">
        <f t="shared" si="2"/>
        <v>FRED/AZRGSP</v>
      </c>
      <c r="I54" s="1" t="s">
        <v>4</v>
      </c>
      <c r="J54" s="2" t="str">
        <f t="shared" ref="J54:J101" si="11">J53</f>
        <v>RGSP</v>
      </c>
    </row>
    <row r="55" spans="1:10" x14ac:dyDescent="0.3">
      <c r="A55" s="2" t="str">
        <f t="shared" si="0"/>
        <v>Arkansas-Real GDP</v>
      </c>
      <c r="B55" s="2" t="s">
        <v>7</v>
      </c>
      <c r="C55" s="2" t="str">
        <f t="shared" si="8"/>
        <v>Real GDP</v>
      </c>
      <c r="D55" s="2" t="str">
        <f t="shared" si="9"/>
        <v>Real Total Gross Domestic Product</v>
      </c>
      <c r="E55" s="2" t="str">
        <f t="shared" si="10"/>
        <v>Quarterly</v>
      </c>
      <c r="F55" s="1" t="str">
        <f t="shared" si="7"/>
        <v>ARRGSP</v>
      </c>
      <c r="G55" s="2" t="str">
        <f t="shared" si="2"/>
        <v>FRED/ARRGSP</v>
      </c>
      <c r="I55" s="1" t="s">
        <v>6</v>
      </c>
      <c r="J55" s="2" t="str">
        <f t="shared" si="11"/>
        <v>RGSP</v>
      </c>
    </row>
    <row r="56" spans="1:10" x14ac:dyDescent="0.3">
      <c r="A56" s="2" t="str">
        <f t="shared" si="0"/>
        <v>California-Real GDP</v>
      </c>
      <c r="B56" s="2" t="s">
        <v>124</v>
      </c>
      <c r="C56" s="2" t="str">
        <f t="shared" si="8"/>
        <v>Real GDP</v>
      </c>
      <c r="D56" s="2" t="str">
        <f t="shared" si="9"/>
        <v>Real Total Gross Domestic Product</v>
      </c>
      <c r="E56" s="2" t="str">
        <f t="shared" si="10"/>
        <v>Quarterly</v>
      </c>
      <c r="F56" s="1" t="str">
        <f t="shared" si="7"/>
        <v>CARGSP</v>
      </c>
      <c r="G56" s="2" t="str">
        <f t="shared" si="2"/>
        <v>FRED/CARGSP</v>
      </c>
      <c r="I56" s="1" t="s">
        <v>8</v>
      </c>
      <c r="J56" s="2" t="str">
        <f t="shared" si="11"/>
        <v>RGSP</v>
      </c>
    </row>
    <row r="57" spans="1:10" x14ac:dyDescent="0.3">
      <c r="A57" s="2" t="str">
        <f t="shared" si="0"/>
        <v>Colorado-Real GDP</v>
      </c>
      <c r="B57" s="2" t="s">
        <v>10</v>
      </c>
      <c r="C57" s="2" t="str">
        <f t="shared" si="8"/>
        <v>Real GDP</v>
      </c>
      <c r="D57" s="2" t="str">
        <f t="shared" si="9"/>
        <v>Real Total Gross Domestic Product</v>
      </c>
      <c r="E57" s="2" t="str">
        <f t="shared" si="10"/>
        <v>Quarterly</v>
      </c>
      <c r="F57" s="1" t="str">
        <f t="shared" si="7"/>
        <v>CORGSP</v>
      </c>
      <c r="G57" s="2" t="str">
        <f t="shared" si="2"/>
        <v>FRED/CORGSP</v>
      </c>
      <c r="I57" s="1" t="s">
        <v>9</v>
      </c>
      <c r="J57" s="2" t="str">
        <f t="shared" si="11"/>
        <v>RGSP</v>
      </c>
    </row>
    <row r="58" spans="1:10" x14ac:dyDescent="0.3">
      <c r="A58" s="2" t="str">
        <f t="shared" si="0"/>
        <v>Connecticut-Real GDP</v>
      </c>
      <c r="B58" s="2" t="s">
        <v>12</v>
      </c>
      <c r="C58" s="2" t="str">
        <f t="shared" si="8"/>
        <v>Real GDP</v>
      </c>
      <c r="D58" s="2" t="str">
        <f t="shared" si="9"/>
        <v>Real Total Gross Domestic Product</v>
      </c>
      <c r="E58" s="2" t="str">
        <f t="shared" si="10"/>
        <v>Quarterly</v>
      </c>
      <c r="F58" s="1" t="str">
        <f t="shared" si="7"/>
        <v>CTRGSP</v>
      </c>
      <c r="G58" s="2" t="str">
        <f t="shared" si="2"/>
        <v>FRED/CTRGSP</v>
      </c>
      <c r="I58" s="1" t="s">
        <v>11</v>
      </c>
      <c r="J58" s="2" t="str">
        <f t="shared" si="11"/>
        <v>RGSP</v>
      </c>
    </row>
    <row r="59" spans="1:10" x14ac:dyDescent="0.3">
      <c r="A59" s="2" t="str">
        <f t="shared" si="0"/>
        <v>Delaware-Real GDP</v>
      </c>
      <c r="B59" s="2" t="s">
        <v>14</v>
      </c>
      <c r="C59" s="2" t="str">
        <f t="shared" si="8"/>
        <v>Real GDP</v>
      </c>
      <c r="D59" s="2" t="str">
        <f t="shared" si="9"/>
        <v>Real Total Gross Domestic Product</v>
      </c>
      <c r="E59" s="2" t="str">
        <f t="shared" si="10"/>
        <v>Quarterly</v>
      </c>
      <c r="F59" s="1" t="str">
        <f t="shared" si="7"/>
        <v>DERGSP</v>
      </c>
      <c r="G59" s="2" t="str">
        <f t="shared" si="2"/>
        <v>FRED/DERGSP</v>
      </c>
      <c r="I59" s="1" t="s">
        <v>13</v>
      </c>
      <c r="J59" s="2" t="str">
        <f t="shared" si="11"/>
        <v>RGSP</v>
      </c>
    </row>
    <row r="60" spans="1:10" x14ac:dyDescent="0.3">
      <c r="A60" s="2" t="str">
        <f t="shared" si="0"/>
        <v>Florida-Real GDP</v>
      </c>
      <c r="B60" s="2" t="s">
        <v>16</v>
      </c>
      <c r="C60" s="2" t="str">
        <f t="shared" si="8"/>
        <v>Real GDP</v>
      </c>
      <c r="D60" s="2" t="str">
        <f t="shared" si="9"/>
        <v>Real Total Gross Domestic Product</v>
      </c>
      <c r="E60" s="2" t="str">
        <f t="shared" si="10"/>
        <v>Quarterly</v>
      </c>
      <c r="F60" s="1" t="str">
        <f t="shared" si="7"/>
        <v>FLRGSP</v>
      </c>
      <c r="G60" s="2" t="str">
        <f t="shared" si="2"/>
        <v>FRED/FLRGSP</v>
      </c>
      <c r="I60" s="1" t="s">
        <v>15</v>
      </c>
      <c r="J60" s="2" t="str">
        <f t="shared" si="11"/>
        <v>RGSP</v>
      </c>
    </row>
    <row r="61" spans="1:10" x14ac:dyDescent="0.3">
      <c r="A61" s="2" t="str">
        <f t="shared" si="0"/>
        <v>Georgia-Real GDP</v>
      </c>
      <c r="B61" s="2" t="s">
        <v>18</v>
      </c>
      <c r="C61" s="2" t="str">
        <f t="shared" si="8"/>
        <v>Real GDP</v>
      </c>
      <c r="D61" s="2" t="str">
        <f t="shared" si="9"/>
        <v>Real Total Gross Domestic Product</v>
      </c>
      <c r="E61" s="2" t="str">
        <f t="shared" si="10"/>
        <v>Quarterly</v>
      </c>
      <c r="F61" s="1" t="str">
        <f t="shared" si="7"/>
        <v>GARGSP</v>
      </c>
      <c r="G61" s="2" t="str">
        <f t="shared" si="2"/>
        <v>FRED/GARGSP</v>
      </c>
      <c r="I61" s="1" t="s">
        <v>17</v>
      </c>
      <c r="J61" s="2" t="str">
        <f t="shared" si="11"/>
        <v>RGSP</v>
      </c>
    </row>
    <row r="62" spans="1:10" x14ac:dyDescent="0.3">
      <c r="A62" s="2" t="str">
        <f t="shared" si="0"/>
        <v>Hawaii-Real GDP</v>
      </c>
      <c r="B62" s="2" t="s">
        <v>20</v>
      </c>
      <c r="C62" s="2" t="str">
        <f t="shared" si="8"/>
        <v>Real GDP</v>
      </c>
      <c r="D62" s="2" t="str">
        <f t="shared" si="9"/>
        <v>Real Total Gross Domestic Product</v>
      </c>
      <c r="E62" s="2" t="str">
        <f t="shared" si="10"/>
        <v>Quarterly</v>
      </c>
      <c r="F62" s="1" t="str">
        <f t="shared" si="7"/>
        <v>HIRGSP</v>
      </c>
      <c r="G62" s="2" t="str">
        <f t="shared" si="2"/>
        <v>FRED/HIRGSP</v>
      </c>
      <c r="I62" s="1" t="s">
        <v>19</v>
      </c>
      <c r="J62" s="2" t="str">
        <f t="shared" si="11"/>
        <v>RGSP</v>
      </c>
    </row>
    <row r="63" spans="1:10" x14ac:dyDescent="0.3">
      <c r="A63" s="2" t="str">
        <f t="shared" si="0"/>
        <v>Idaho-Real GDP</v>
      </c>
      <c r="B63" s="2" t="s">
        <v>22</v>
      </c>
      <c r="C63" s="2" t="str">
        <f t="shared" si="8"/>
        <v>Real GDP</v>
      </c>
      <c r="D63" s="2" t="str">
        <f t="shared" si="9"/>
        <v>Real Total Gross Domestic Product</v>
      </c>
      <c r="E63" s="2" t="str">
        <f t="shared" si="10"/>
        <v>Quarterly</v>
      </c>
      <c r="F63" s="1" t="str">
        <f t="shared" si="7"/>
        <v>IDRGSP</v>
      </c>
      <c r="G63" s="2" t="str">
        <f t="shared" si="2"/>
        <v>FRED/IDRGSP</v>
      </c>
      <c r="I63" s="1" t="s">
        <v>21</v>
      </c>
      <c r="J63" s="2" t="str">
        <f t="shared" si="11"/>
        <v>RGSP</v>
      </c>
    </row>
    <row r="64" spans="1:10" x14ac:dyDescent="0.3">
      <c r="A64" s="2" t="str">
        <f t="shared" si="0"/>
        <v>Illinois-Real GDP</v>
      </c>
      <c r="B64" s="2" t="s">
        <v>24</v>
      </c>
      <c r="C64" s="2" t="str">
        <f t="shared" si="8"/>
        <v>Real GDP</v>
      </c>
      <c r="D64" s="2" t="str">
        <f t="shared" si="9"/>
        <v>Real Total Gross Domestic Product</v>
      </c>
      <c r="E64" s="2" t="str">
        <f t="shared" si="10"/>
        <v>Quarterly</v>
      </c>
      <c r="F64" s="1" t="str">
        <f t="shared" si="7"/>
        <v>ILRGSP</v>
      </c>
      <c r="G64" s="2" t="str">
        <f t="shared" si="2"/>
        <v>FRED/ILRGSP</v>
      </c>
      <c r="I64" s="1" t="s">
        <v>23</v>
      </c>
      <c r="J64" s="2" t="str">
        <f t="shared" si="11"/>
        <v>RGSP</v>
      </c>
    </row>
    <row r="65" spans="1:10" x14ac:dyDescent="0.3">
      <c r="A65" s="2" t="str">
        <f t="shared" si="0"/>
        <v>Indiana-Real GDP</v>
      </c>
      <c r="B65" s="2" t="s">
        <v>26</v>
      </c>
      <c r="C65" s="2" t="str">
        <f t="shared" si="8"/>
        <v>Real GDP</v>
      </c>
      <c r="D65" s="2" t="str">
        <f t="shared" si="9"/>
        <v>Real Total Gross Domestic Product</v>
      </c>
      <c r="E65" s="2" t="str">
        <f t="shared" si="10"/>
        <v>Quarterly</v>
      </c>
      <c r="F65" s="1" t="str">
        <f t="shared" si="7"/>
        <v>INRGSP</v>
      </c>
      <c r="G65" s="2" t="str">
        <f t="shared" si="2"/>
        <v>FRED/INRGSP</v>
      </c>
      <c r="I65" s="1" t="s">
        <v>25</v>
      </c>
      <c r="J65" s="2" t="str">
        <f t="shared" si="11"/>
        <v>RGSP</v>
      </c>
    </row>
    <row r="66" spans="1:10" x14ac:dyDescent="0.3">
      <c r="A66" s="2" t="str">
        <f t="shared" si="0"/>
        <v>Iowa-Real GDP</v>
      </c>
      <c r="B66" s="2" t="s">
        <v>28</v>
      </c>
      <c r="C66" s="2" t="str">
        <f t="shared" si="8"/>
        <v>Real GDP</v>
      </c>
      <c r="D66" s="2" t="str">
        <f t="shared" si="9"/>
        <v>Real Total Gross Domestic Product</v>
      </c>
      <c r="E66" s="2" t="str">
        <f t="shared" si="10"/>
        <v>Quarterly</v>
      </c>
      <c r="F66" s="1" t="str">
        <f t="shared" si="7"/>
        <v>IARGSP</v>
      </c>
      <c r="G66" s="2" t="str">
        <f t="shared" si="2"/>
        <v>FRED/IARGSP</v>
      </c>
      <c r="I66" s="1" t="s">
        <v>27</v>
      </c>
      <c r="J66" s="2" t="str">
        <f t="shared" si="11"/>
        <v>RGSP</v>
      </c>
    </row>
    <row r="67" spans="1:10" x14ac:dyDescent="0.3">
      <c r="A67" s="2" t="str">
        <f t="shared" ref="A67:A130" si="12">B67&amp;"-"&amp;C67</f>
        <v>Kansas-Real GDP</v>
      </c>
      <c r="B67" s="2" t="s">
        <v>30</v>
      </c>
      <c r="C67" s="2" t="str">
        <f t="shared" si="8"/>
        <v>Real GDP</v>
      </c>
      <c r="D67" s="2" t="str">
        <f t="shared" si="9"/>
        <v>Real Total Gross Domestic Product</v>
      </c>
      <c r="E67" s="2" t="str">
        <f t="shared" si="10"/>
        <v>Quarterly</v>
      </c>
      <c r="F67" s="1" t="str">
        <f t="shared" si="7"/>
        <v>KSRGSP</v>
      </c>
      <c r="G67" s="2" t="str">
        <f t="shared" ref="G67:G101" si="13">"FRED/"&amp;F67</f>
        <v>FRED/KSRGSP</v>
      </c>
      <c r="I67" s="1" t="s">
        <v>29</v>
      </c>
      <c r="J67" s="2" t="str">
        <f t="shared" si="11"/>
        <v>RGSP</v>
      </c>
    </row>
    <row r="68" spans="1:10" x14ac:dyDescent="0.3">
      <c r="A68" s="2" t="str">
        <f t="shared" si="12"/>
        <v>Kentucky-Real GDP</v>
      </c>
      <c r="B68" s="2" t="s">
        <v>32</v>
      </c>
      <c r="C68" s="2" t="str">
        <f t="shared" si="8"/>
        <v>Real GDP</v>
      </c>
      <c r="D68" s="2" t="str">
        <f t="shared" si="9"/>
        <v>Real Total Gross Domestic Product</v>
      </c>
      <c r="E68" s="2" t="str">
        <f t="shared" si="10"/>
        <v>Quarterly</v>
      </c>
      <c r="F68" s="1" t="str">
        <f t="shared" si="7"/>
        <v>KYRGSP</v>
      </c>
      <c r="G68" s="2" t="str">
        <f t="shared" si="13"/>
        <v>FRED/KYRGSP</v>
      </c>
      <c r="I68" s="1" t="s">
        <v>31</v>
      </c>
      <c r="J68" s="2" t="str">
        <f t="shared" si="11"/>
        <v>RGSP</v>
      </c>
    </row>
    <row r="69" spans="1:10" x14ac:dyDescent="0.3">
      <c r="A69" s="2" t="str">
        <f t="shared" si="12"/>
        <v>Louisiana-Real GDP</v>
      </c>
      <c r="B69" s="2" t="s">
        <v>34</v>
      </c>
      <c r="C69" s="2" t="str">
        <f t="shared" si="8"/>
        <v>Real GDP</v>
      </c>
      <c r="D69" s="2" t="str">
        <f t="shared" si="9"/>
        <v>Real Total Gross Domestic Product</v>
      </c>
      <c r="E69" s="2" t="str">
        <f t="shared" si="10"/>
        <v>Quarterly</v>
      </c>
      <c r="F69" s="1" t="str">
        <f t="shared" si="7"/>
        <v>LARGSP</v>
      </c>
      <c r="G69" s="2" t="str">
        <f t="shared" si="13"/>
        <v>FRED/LARGSP</v>
      </c>
      <c r="I69" s="1" t="s">
        <v>33</v>
      </c>
      <c r="J69" s="2" t="str">
        <f t="shared" si="11"/>
        <v>RGSP</v>
      </c>
    </row>
    <row r="70" spans="1:10" x14ac:dyDescent="0.3">
      <c r="A70" s="2" t="str">
        <f t="shared" si="12"/>
        <v>Maine-Real GDP</v>
      </c>
      <c r="B70" s="2" t="s">
        <v>36</v>
      </c>
      <c r="C70" s="2" t="str">
        <f t="shared" si="8"/>
        <v>Real GDP</v>
      </c>
      <c r="D70" s="2" t="str">
        <f t="shared" si="9"/>
        <v>Real Total Gross Domestic Product</v>
      </c>
      <c r="E70" s="2" t="str">
        <f t="shared" si="10"/>
        <v>Quarterly</v>
      </c>
      <c r="F70" s="1" t="str">
        <f t="shared" si="7"/>
        <v>MERGSP</v>
      </c>
      <c r="G70" s="2" t="str">
        <f t="shared" si="13"/>
        <v>FRED/MERGSP</v>
      </c>
      <c r="I70" s="1" t="s">
        <v>35</v>
      </c>
      <c r="J70" s="2" t="str">
        <f t="shared" si="11"/>
        <v>RGSP</v>
      </c>
    </row>
    <row r="71" spans="1:10" x14ac:dyDescent="0.3">
      <c r="A71" s="2" t="str">
        <f t="shared" si="12"/>
        <v>Maryland-Real GDP</v>
      </c>
      <c r="B71" s="2" t="s">
        <v>38</v>
      </c>
      <c r="C71" s="2" t="str">
        <f t="shared" si="8"/>
        <v>Real GDP</v>
      </c>
      <c r="D71" s="2" t="str">
        <f t="shared" si="9"/>
        <v>Real Total Gross Domestic Product</v>
      </c>
      <c r="E71" s="2" t="str">
        <f t="shared" si="10"/>
        <v>Quarterly</v>
      </c>
      <c r="F71" s="1" t="str">
        <f t="shared" si="7"/>
        <v>MDRGSP</v>
      </c>
      <c r="G71" s="2" t="str">
        <f t="shared" si="13"/>
        <v>FRED/MDRGSP</v>
      </c>
      <c r="I71" s="1" t="s">
        <v>37</v>
      </c>
      <c r="J71" s="2" t="str">
        <f t="shared" si="11"/>
        <v>RGSP</v>
      </c>
    </row>
    <row r="72" spans="1:10" x14ac:dyDescent="0.3">
      <c r="A72" s="2" t="str">
        <f t="shared" si="12"/>
        <v>Massachusetts-Real GDP</v>
      </c>
      <c r="B72" s="2" t="s">
        <v>40</v>
      </c>
      <c r="C72" s="2" t="str">
        <f t="shared" si="8"/>
        <v>Real GDP</v>
      </c>
      <c r="D72" s="2" t="str">
        <f t="shared" si="9"/>
        <v>Real Total Gross Domestic Product</v>
      </c>
      <c r="E72" s="2" t="str">
        <f t="shared" si="10"/>
        <v>Quarterly</v>
      </c>
      <c r="F72" s="1" t="str">
        <f t="shared" si="7"/>
        <v>MARGSP</v>
      </c>
      <c r="G72" s="2" t="str">
        <f t="shared" si="13"/>
        <v>FRED/MARGSP</v>
      </c>
      <c r="I72" s="1" t="s">
        <v>39</v>
      </c>
      <c r="J72" s="2" t="str">
        <f t="shared" si="11"/>
        <v>RGSP</v>
      </c>
    </row>
    <row r="73" spans="1:10" x14ac:dyDescent="0.3">
      <c r="A73" s="2" t="str">
        <f t="shared" si="12"/>
        <v>Michigan-Real GDP</v>
      </c>
      <c r="B73" s="2" t="s">
        <v>42</v>
      </c>
      <c r="C73" s="2" t="str">
        <f t="shared" si="8"/>
        <v>Real GDP</v>
      </c>
      <c r="D73" s="2" t="str">
        <f t="shared" si="9"/>
        <v>Real Total Gross Domestic Product</v>
      </c>
      <c r="E73" s="2" t="str">
        <f t="shared" si="10"/>
        <v>Quarterly</v>
      </c>
      <c r="F73" s="1" t="str">
        <f t="shared" si="7"/>
        <v>MIRGSP</v>
      </c>
      <c r="G73" s="2" t="str">
        <f t="shared" si="13"/>
        <v>FRED/MIRGSP</v>
      </c>
      <c r="I73" s="1" t="s">
        <v>41</v>
      </c>
      <c r="J73" s="2" t="str">
        <f t="shared" si="11"/>
        <v>RGSP</v>
      </c>
    </row>
    <row r="74" spans="1:10" x14ac:dyDescent="0.3">
      <c r="A74" s="2" t="str">
        <f t="shared" si="12"/>
        <v>Minnesota-Real GDP</v>
      </c>
      <c r="B74" s="2" t="s">
        <v>44</v>
      </c>
      <c r="C74" s="2" t="str">
        <f t="shared" si="8"/>
        <v>Real GDP</v>
      </c>
      <c r="D74" s="2" t="str">
        <f t="shared" si="9"/>
        <v>Real Total Gross Domestic Product</v>
      </c>
      <c r="E74" s="2" t="str">
        <f t="shared" si="10"/>
        <v>Quarterly</v>
      </c>
      <c r="F74" s="1" t="str">
        <f t="shared" si="7"/>
        <v>MNRGSP</v>
      </c>
      <c r="G74" s="2" t="str">
        <f t="shared" si="13"/>
        <v>FRED/MNRGSP</v>
      </c>
      <c r="I74" s="1" t="s">
        <v>43</v>
      </c>
      <c r="J74" s="2" t="str">
        <f t="shared" si="11"/>
        <v>RGSP</v>
      </c>
    </row>
    <row r="75" spans="1:10" x14ac:dyDescent="0.3">
      <c r="A75" s="2" t="str">
        <f t="shared" si="12"/>
        <v>Mississippi-Real GDP</v>
      </c>
      <c r="B75" s="2" t="s">
        <v>46</v>
      </c>
      <c r="C75" s="2" t="str">
        <f t="shared" si="8"/>
        <v>Real GDP</v>
      </c>
      <c r="D75" s="2" t="str">
        <f t="shared" si="9"/>
        <v>Real Total Gross Domestic Product</v>
      </c>
      <c r="E75" s="2" t="str">
        <f t="shared" si="10"/>
        <v>Quarterly</v>
      </c>
      <c r="F75" s="1" t="str">
        <f t="shared" si="7"/>
        <v>MSRGSP</v>
      </c>
      <c r="G75" s="2" t="str">
        <f t="shared" si="13"/>
        <v>FRED/MSRGSP</v>
      </c>
      <c r="I75" s="1" t="s">
        <v>45</v>
      </c>
      <c r="J75" s="2" t="str">
        <f t="shared" si="11"/>
        <v>RGSP</v>
      </c>
    </row>
    <row r="76" spans="1:10" x14ac:dyDescent="0.3">
      <c r="A76" s="2" t="str">
        <f t="shared" si="12"/>
        <v>Missouri-Real GDP</v>
      </c>
      <c r="B76" s="2" t="s">
        <v>48</v>
      </c>
      <c r="C76" s="2" t="str">
        <f t="shared" si="8"/>
        <v>Real GDP</v>
      </c>
      <c r="D76" s="2" t="str">
        <f t="shared" si="9"/>
        <v>Real Total Gross Domestic Product</v>
      </c>
      <c r="E76" s="2" t="str">
        <f t="shared" si="10"/>
        <v>Quarterly</v>
      </c>
      <c r="F76" s="1" t="str">
        <f t="shared" si="7"/>
        <v>MORGSP</v>
      </c>
      <c r="G76" s="2" t="str">
        <f t="shared" si="13"/>
        <v>FRED/MORGSP</v>
      </c>
      <c r="I76" s="1" t="s">
        <v>47</v>
      </c>
      <c r="J76" s="2" t="str">
        <f t="shared" si="11"/>
        <v>RGSP</v>
      </c>
    </row>
    <row r="77" spans="1:10" x14ac:dyDescent="0.3">
      <c r="A77" s="2" t="str">
        <f t="shared" si="12"/>
        <v>Montana-Real GDP</v>
      </c>
      <c r="B77" s="2" t="s">
        <v>50</v>
      </c>
      <c r="C77" s="2" t="str">
        <f t="shared" si="8"/>
        <v>Real GDP</v>
      </c>
      <c r="D77" s="2" t="str">
        <f t="shared" si="9"/>
        <v>Real Total Gross Domestic Product</v>
      </c>
      <c r="E77" s="2" t="str">
        <f t="shared" si="10"/>
        <v>Quarterly</v>
      </c>
      <c r="F77" s="1" t="str">
        <f t="shared" si="7"/>
        <v>MTRGSP</v>
      </c>
      <c r="G77" s="2" t="str">
        <f t="shared" si="13"/>
        <v>FRED/MTRGSP</v>
      </c>
      <c r="I77" s="1" t="s">
        <v>49</v>
      </c>
      <c r="J77" s="2" t="str">
        <f t="shared" si="11"/>
        <v>RGSP</v>
      </c>
    </row>
    <row r="78" spans="1:10" x14ac:dyDescent="0.3">
      <c r="A78" s="2" t="str">
        <f t="shared" si="12"/>
        <v>Nebraska-Real GDP</v>
      </c>
      <c r="B78" s="2" t="s">
        <v>52</v>
      </c>
      <c r="C78" s="2" t="str">
        <f t="shared" si="8"/>
        <v>Real GDP</v>
      </c>
      <c r="D78" s="2" t="str">
        <f t="shared" si="9"/>
        <v>Real Total Gross Domestic Product</v>
      </c>
      <c r="E78" s="2" t="str">
        <f t="shared" si="10"/>
        <v>Quarterly</v>
      </c>
      <c r="F78" s="1" t="str">
        <f t="shared" si="7"/>
        <v>NERGSP</v>
      </c>
      <c r="G78" s="2" t="str">
        <f t="shared" si="13"/>
        <v>FRED/NERGSP</v>
      </c>
      <c r="I78" s="1" t="s">
        <v>51</v>
      </c>
      <c r="J78" s="2" t="str">
        <f t="shared" si="11"/>
        <v>RGSP</v>
      </c>
    </row>
    <row r="79" spans="1:10" x14ac:dyDescent="0.3">
      <c r="A79" s="2" t="str">
        <f t="shared" si="12"/>
        <v>Nevada-Real GDP</v>
      </c>
      <c r="B79" s="2" t="s">
        <v>54</v>
      </c>
      <c r="C79" s="2" t="str">
        <f t="shared" si="8"/>
        <v>Real GDP</v>
      </c>
      <c r="D79" s="2" t="str">
        <f t="shared" si="9"/>
        <v>Real Total Gross Domestic Product</v>
      </c>
      <c r="E79" s="2" t="str">
        <f t="shared" si="10"/>
        <v>Quarterly</v>
      </c>
      <c r="F79" s="1" t="str">
        <f t="shared" si="7"/>
        <v>NVRGSP</v>
      </c>
      <c r="G79" s="2" t="str">
        <f t="shared" si="13"/>
        <v>FRED/NVRGSP</v>
      </c>
      <c r="I79" s="1" t="s">
        <v>53</v>
      </c>
      <c r="J79" s="2" t="str">
        <f t="shared" si="11"/>
        <v>RGSP</v>
      </c>
    </row>
    <row r="80" spans="1:10" x14ac:dyDescent="0.3">
      <c r="A80" s="2" t="str">
        <f t="shared" si="12"/>
        <v>New Hampshire-Real GDP</v>
      </c>
      <c r="B80" s="2" t="s">
        <v>56</v>
      </c>
      <c r="C80" s="2" t="str">
        <f t="shared" si="8"/>
        <v>Real GDP</v>
      </c>
      <c r="D80" s="2" t="str">
        <f t="shared" si="9"/>
        <v>Real Total Gross Domestic Product</v>
      </c>
      <c r="E80" s="2" t="str">
        <f t="shared" si="10"/>
        <v>Quarterly</v>
      </c>
      <c r="F80" s="1" t="str">
        <f t="shared" si="7"/>
        <v>NHRGSP</v>
      </c>
      <c r="G80" s="2" t="str">
        <f t="shared" si="13"/>
        <v>FRED/NHRGSP</v>
      </c>
      <c r="I80" s="1" t="s">
        <v>55</v>
      </c>
      <c r="J80" s="2" t="str">
        <f t="shared" si="11"/>
        <v>RGSP</v>
      </c>
    </row>
    <row r="81" spans="1:10" x14ac:dyDescent="0.3">
      <c r="A81" s="2" t="str">
        <f t="shared" si="12"/>
        <v>New Jersey-Real GDP</v>
      </c>
      <c r="B81" s="2" t="s">
        <v>58</v>
      </c>
      <c r="C81" s="2" t="str">
        <f t="shared" si="8"/>
        <v>Real GDP</v>
      </c>
      <c r="D81" s="2" t="str">
        <f t="shared" si="9"/>
        <v>Real Total Gross Domestic Product</v>
      </c>
      <c r="E81" s="2" t="str">
        <f t="shared" si="10"/>
        <v>Quarterly</v>
      </c>
      <c r="F81" s="1" t="str">
        <f t="shared" si="7"/>
        <v>NJRGSP</v>
      </c>
      <c r="G81" s="2" t="str">
        <f t="shared" si="13"/>
        <v>FRED/NJRGSP</v>
      </c>
      <c r="I81" s="1" t="s">
        <v>57</v>
      </c>
      <c r="J81" s="2" t="str">
        <f t="shared" si="11"/>
        <v>RGSP</v>
      </c>
    </row>
    <row r="82" spans="1:10" x14ac:dyDescent="0.3">
      <c r="A82" s="2" t="str">
        <f t="shared" si="12"/>
        <v>New Mexico-Real GDP</v>
      </c>
      <c r="B82" s="2" t="s">
        <v>60</v>
      </c>
      <c r="C82" s="2" t="str">
        <f t="shared" si="8"/>
        <v>Real GDP</v>
      </c>
      <c r="D82" s="2" t="str">
        <f t="shared" si="9"/>
        <v>Real Total Gross Domestic Product</v>
      </c>
      <c r="E82" s="2" t="str">
        <f t="shared" si="10"/>
        <v>Quarterly</v>
      </c>
      <c r="F82" s="1" t="str">
        <f t="shared" si="7"/>
        <v>NMRGSP</v>
      </c>
      <c r="G82" s="2" t="str">
        <f t="shared" si="13"/>
        <v>FRED/NMRGSP</v>
      </c>
      <c r="I82" s="1" t="s">
        <v>59</v>
      </c>
      <c r="J82" s="2" t="str">
        <f t="shared" si="11"/>
        <v>RGSP</v>
      </c>
    </row>
    <row r="83" spans="1:10" x14ac:dyDescent="0.3">
      <c r="A83" s="2" t="str">
        <f t="shared" si="12"/>
        <v>New York-Real GDP</v>
      </c>
      <c r="B83" s="2" t="s">
        <v>62</v>
      </c>
      <c r="C83" s="2" t="str">
        <f t="shared" si="8"/>
        <v>Real GDP</v>
      </c>
      <c r="D83" s="2" t="str">
        <f t="shared" si="9"/>
        <v>Real Total Gross Domestic Product</v>
      </c>
      <c r="E83" s="2" t="str">
        <f t="shared" si="10"/>
        <v>Quarterly</v>
      </c>
      <c r="F83" s="1" t="str">
        <f t="shared" si="7"/>
        <v>NYRGSP</v>
      </c>
      <c r="G83" s="2" t="str">
        <f t="shared" si="13"/>
        <v>FRED/NYRGSP</v>
      </c>
      <c r="I83" s="1" t="s">
        <v>61</v>
      </c>
      <c r="J83" s="2" t="str">
        <f t="shared" si="11"/>
        <v>RGSP</v>
      </c>
    </row>
    <row r="84" spans="1:10" x14ac:dyDescent="0.3">
      <c r="A84" s="2" t="str">
        <f t="shared" si="12"/>
        <v>North Carolina-Real GDP</v>
      </c>
      <c r="B84" s="2" t="s">
        <v>64</v>
      </c>
      <c r="C84" s="2" t="str">
        <f t="shared" si="8"/>
        <v>Real GDP</v>
      </c>
      <c r="D84" s="2" t="str">
        <f t="shared" si="9"/>
        <v>Real Total Gross Domestic Product</v>
      </c>
      <c r="E84" s="2" t="str">
        <f t="shared" si="10"/>
        <v>Quarterly</v>
      </c>
      <c r="F84" s="1" t="str">
        <f t="shared" si="7"/>
        <v>NCRGSP</v>
      </c>
      <c r="G84" s="2" t="str">
        <f t="shared" si="13"/>
        <v>FRED/NCRGSP</v>
      </c>
      <c r="I84" s="1" t="s">
        <v>63</v>
      </c>
      <c r="J84" s="2" t="str">
        <f t="shared" si="11"/>
        <v>RGSP</v>
      </c>
    </row>
    <row r="85" spans="1:10" x14ac:dyDescent="0.3">
      <c r="A85" s="2" t="str">
        <f t="shared" si="12"/>
        <v>North Dakota-Real GDP</v>
      </c>
      <c r="B85" s="2" t="s">
        <v>66</v>
      </c>
      <c r="C85" s="2" t="str">
        <f t="shared" si="8"/>
        <v>Real GDP</v>
      </c>
      <c r="D85" s="2" t="str">
        <f t="shared" si="9"/>
        <v>Real Total Gross Domestic Product</v>
      </c>
      <c r="E85" s="2" t="str">
        <f t="shared" si="10"/>
        <v>Quarterly</v>
      </c>
      <c r="F85" s="1" t="str">
        <f t="shared" si="7"/>
        <v>NDRGSP</v>
      </c>
      <c r="G85" s="2" t="str">
        <f t="shared" si="13"/>
        <v>FRED/NDRGSP</v>
      </c>
      <c r="I85" s="1" t="s">
        <v>65</v>
      </c>
      <c r="J85" s="2" t="str">
        <f t="shared" si="11"/>
        <v>RGSP</v>
      </c>
    </row>
    <row r="86" spans="1:10" x14ac:dyDescent="0.3">
      <c r="A86" s="2" t="str">
        <f t="shared" si="12"/>
        <v>Ohio-Real GDP</v>
      </c>
      <c r="B86" s="2" t="s">
        <v>68</v>
      </c>
      <c r="C86" s="2" t="str">
        <f t="shared" si="8"/>
        <v>Real GDP</v>
      </c>
      <c r="D86" s="2" t="str">
        <f t="shared" si="9"/>
        <v>Real Total Gross Domestic Product</v>
      </c>
      <c r="E86" s="2" t="str">
        <f t="shared" si="10"/>
        <v>Quarterly</v>
      </c>
      <c r="F86" s="1" t="str">
        <f t="shared" si="7"/>
        <v>OHRGSP</v>
      </c>
      <c r="G86" s="2" t="str">
        <f t="shared" si="13"/>
        <v>FRED/OHRGSP</v>
      </c>
      <c r="I86" s="1" t="s">
        <v>67</v>
      </c>
      <c r="J86" s="2" t="str">
        <f t="shared" si="11"/>
        <v>RGSP</v>
      </c>
    </row>
    <row r="87" spans="1:10" x14ac:dyDescent="0.3">
      <c r="A87" s="2" t="str">
        <f t="shared" si="12"/>
        <v>Oklahoma-Real GDP</v>
      </c>
      <c r="B87" s="2" t="s">
        <v>70</v>
      </c>
      <c r="C87" s="2" t="str">
        <f t="shared" si="8"/>
        <v>Real GDP</v>
      </c>
      <c r="D87" s="2" t="str">
        <f t="shared" si="9"/>
        <v>Real Total Gross Domestic Product</v>
      </c>
      <c r="E87" s="2" t="str">
        <f t="shared" si="10"/>
        <v>Quarterly</v>
      </c>
      <c r="F87" s="1" t="str">
        <f t="shared" si="7"/>
        <v>OKRGSP</v>
      </c>
      <c r="G87" s="2" t="str">
        <f t="shared" si="13"/>
        <v>FRED/OKRGSP</v>
      </c>
      <c r="I87" s="1" t="s">
        <v>69</v>
      </c>
      <c r="J87" s="2" t="str">
        <f t="shared" si="11"/>
        <v>RGSP</v>
      </c>
    </row>
    <row r="88" spans="1:10" x14ac:dyDescent="0.3">
      <c r="A88" s="2" t="str">
        <f t="shared" si="12"/>
        <v>Oregon-Real GDP</v>
      </c>
      <c r="B88" s="2" t="s">
        <v>72</v>
      </c>
      <c r="C88" s="2" t="str">
        <f t="shared" si="8"/>
        <v>Real GDP</v>
      </c>
      <c r="D88" s="2" t="str">
        <f t="shared" si="9"/>
        <v>Real Total Gross Domestic Product</v>
      </c>
      <c r="E88" s="2" t="str">
        <f t="shared" si="10"/>
        <v>Quarterly</v>
      </c>
      <c r="F88" s="1" t="str">
        <f t="shared" si="7"/>
        <v>ORRGSP</v>
      </c>
      <c r="G88" s="2" t="str">
        <f t="shared" si="13"/>
        <v>FRED/ORRGSP</v>
      </c>
      <c r="I88" s="1" t="s">
        <v>71</v>
      </c>
      <c r="J88" s="2" t="str">
        <f t="shared" si="11"/>
        <v>RGSP</v>
      </c>
    </row>
    <row r="89" spans="1:10" x14ac:dyDescent="0.3">
      <c r="A89" s="2" t="str">
        <f t="shared" si="12"/>
        <v>Pennsylvania-Real GDP</v>
      </c>
      <c r="B89" s="2" t="s">
        <v>74</v>
      </c>
      <c r="C89" s="2" t="str">
        <f t="shared" si="8"/>
        <v>Real GDP</v>
      </c>
      <c r="D89" s="2" t="str">
        <f t="shared" si="9"/>
        <v>Real Total Gross Domestic Product</v>
      </c>
      <c r="E89" s="2" t="str">
        <f t="shared" si="10"/>
        <v>Quarterly</v>
      </c>
      <c r="F89" s="1" t="str">
        <f t="shared" si="7"/>
        <v>PARGSP</v>
      </c>
      <c r="G89" s="2" t="str">
        <f t="shared" si="13"/>
        <v>FRED/PARGSP</v>
      </c>
      <c r="I89" s="1" t="s">
        <v>73</v>
      </c>
      <c r="J89" s="2" t="str">
        <f t="shared" si="11"/>
        <v>RGSP</v>
      </c>
    </row>
    <row r="90" spans="1:10" x14ac:dyDescent="0.3">
      <c r="A90" s="2" t="str">
        <f t="shared" si="12"/>
        <v>Rhode Island-Real GDP</v>
      </c>
      <c r="B90" s="2" t="s">
        <v>76</v>
      </c>
      <c r="C90" s="2" t="str">
        <f t="shared" si="8"/>
        <v>Real GDP</v>
      </c>
      <c r="D90" s="2" t="str">
        <f t="shared" si="9"/>
        <v>Real Total Gross Domestic Product</v>
      </c>
      <c r="E90" s="2" t="str">
        <f t="shared" si="10"/>
        <v>Quarterly</v>
      </c>
      <c r="F90" s="1" t="str">
        <f t="shared" si="7"/>
        <v>RIRGSP</v>
      </c>
      <c r="G90" s="2" t="str">
        <f t="shared" si="13"/>
        <v>FRED/RIRGSP</v>
      </c>
      <c r="I90" s="1" t="s">
        <v>75</v>
      </c>
      <c r="J90" s="2" t="str">
        <f t="shared" si="11"/>
        <v>RGSP</v>
      </c>
    </row>
    <row r="91" spans="1:10" x14ac:dyDescent="0.3">
      <c r="A91" s="2" t="str">
        <f t="shared" si="12"/>
        <v>South Carolina-Real GDP</v>
      </c>
      <c r="B91" s="2" t="s">
        <v>78</v>
      </c>
      <c r="C91" s="2" t="str">
        <f t="shared" si="8"/>
        <v>Real GDP</v>
      </c>
      <c r="D91" s="2" t="str">
        <f t="shared" si="9"/>
        <v>Real Total Gross Domestic Product</v>
      </c>
      <c r="E91" s="2" t="str">
        <f t="shared" si="10"/>
        <v>Quarterly</v>
      </c>
      <c r="F91" s="1" t="str">
        <f t="shared" si="7"/>
        <v>SCRGSP</v>
      </c>
      <c r="G91" s="2" t="str">
        <f t="shared" si="13"/>
        <v>FRED/SCRGSP</v>
      </c>
      <c r="I91" s="1" t="s">
        <v>77</v>
      </c>
      <c r="J91" s="2" t="str">
        <f t="shared" si="11"/>
        <v>RGSP</v>
      </c>
    </row>
    <row r="92" spans="1:10" x14ac:dyDescent="0.3">
      <c r="A92" s="2" t="str">
        <f t="shared" si="12"/>
        <v>South Dakota-Real GDP</v>
      </c>
      <c r="B92" s="2" t="s">
        <v>80</v>
      </c>
      <c r="C92" s="2" t="str">
        <f t="shared" si="8"/>
        <v>Real GDP</v>
      </c>
      <c r="D92" s="2" t="str">
        <f t="shared" si="9"/>
        <v>Real Total Gross Domestic Product</v>
      </c>
      <c r="E92" s="2" t="str">
        <f t="shared" si="10"/>
        <v>Quarterly</v>
      </c>
      <c r="F92" s="1" t="str">
        <f t="shared" si="7"/>
        <v>SDRGSP</v>
      </c>
      <c r="G92" s="2" t="str">
        <f t="shared" si="13"/>
        <v>FRED/SDRGSP</v>
      </c>
      <c r="I92" s="1" t="s">
        <v>79</v>
      </c>
      <c r="J92" s="2" t="str">
        <f t="shared" si="11"/>
        <v>RGSP</v>
      </c>
    </row>
    <row r="93" spans="1:10" x14ac:dyDescent="0.3">
      <c r="A93" s="2" t="str">
        <f t="shared" si="12"/>
        <v>Tennessee-Real GDP</v>
      </c>
      <c r="B93" s="2" t="s">
        <v>82</v>
      </c>
      <c r="C93" s="2" t="str">
        <f t="shared" si="8"/>
        <v>Real GDP</v>
      </c>
      <c r="D93" s="2" t="str">
        <f t="shared" si="9"/>
        <v>Real Total Gross Domestic Product</v>
      </c>
      <c r="E93" s="2" t="str">
        <f t="shared" si="10"/>
        <v>Quarterly</v>
      </c>
      <c r="F93" s="1" t="str">
        <f t="shared" si="7"/>
        <v>TNRGSP</v>
      </c>
      <c r="G93" s="2" t="str">
        <f t="shared" si="13"/>
        <v>FRED/TNRGSP</v>
      </c>
      <c r="I93" s="1" t="s">
        <v>81</v>
      </c>
      <c r="J93" s="2" t="str">
        <f t="shared" si="11"/>
        <v>RGSP</v>
      </c>
    </row>
    <row r="94" spans="1:10" x14ac:dyDescent="0.3">
      <c r="A94" s="2" t="str">
        <f t="shared" si="12"/>
        <v>Texas-Real GDP</v>
      </c>
      <c r="B94" s="2" t="s">
        <v>84</v>
      </c>
      <c r="C94" s="2" t="str">
        <f t="shared" si="8"/>
        <v>Real GDP</v>
      </c>
      <c r="D94" s="2" t="str">
        <f t="shared" si="9"/>
        <v>Real Total Gross Domestic Product</v>
      </c>
      <c r="E94" s="2" t="str">
        <f t="shared" si="10"/>
        <v>Quarterly</v>
      </c>
      <c r="F94" s="1" t="str">
        <f t="shared" si="7"/>
        <v>TXRGSP</v>
      </c>
      <c r="G94" s="2" t="str">
        <f t="shared" si="13"/>
        <v>FRED/TXRGSP</v>
      </c>
      <c r="I94" s="1" t="s">
        <v>83</v>
      </c>
      <c r="J94" s="2" t="str">
        <f t="shared" si="11"/>
        <v>RGSP</v>
      </c>
    </row>
    <row r="95" spans="1:10" x14ac:dyDescent="0.3">
      <c r="A95" s="2" t="str">
        <f t="shared" si="12"/>
        <v>Utah-Real GDP</v>
      </c>
      <c r="B95" s="2" t="s">
        <v>86</v>
      </c>
      <c r="C95" s="2" t="str">
        <f t="shared" si="8"/>
        <v>Real GDP</v>
      </c>
      <c r="D95" s="2" t="str">
        <f t="shared" si="9"/>
        <v>Real Total Gross Domestic Product</v>
      </c>
      <c r="E95" s="2" t="str">
        <f t="shared" si="10"/>
        <v>Quarterly</v>
      </c>
      <c r="F95" s="1" t="str">
        <f t="shared" si="7"/>
        <v>UTRGSP</v>
      </c>
      <c r="G95" s="2" t="str">
        <f t="shared" si="13"/>
        <v>FRED/UTRGSP</v>
      </c>
      <c r="I95" s="1" t="s">
        <v>85</v>
      </c>
      <c r="J95" s="2" t="str">
        <f t="shared" si="11"/>
        <v>RGSP</v>
      </c>
    </row>
    <row r="96" spans="1:10" x14ac:dyDescent="0.3">
      <c r="A96" s="2" t="str">
        <f t="shared" si="12"/>
        <v>Vermont-Real GDP</v>
      </c>
      <c r="B96" s="2" t="s">
        <v>88</v>
      </c>
      <c r="C96" s="2" t="str">
        <f t="shared" si="8"/>
        <v>Real GDP</v>
      </c>
      <c r="D96" s="2" t="str">
        <f t="shared" si="9"/>
        <v>Real Total Gross Domestic Product</v>
      </c>
      <c r="E96" s="2" t="str">
        <f t="shared" si="10"/>
        <v>Quarterly</v>
      </c>
      <c r="F96" s="1" t="str">
        <f t="shared" si="7"/>
        <v>VTRGSP</v>
      </c>
      <c r="G96" s="2" t="str">
        <f t="shared" si="13"/>
        <v>FRED/VTRGSP</v>
      </c>
      <c r="I96" s="1" t="s">
        <v>87</v>
      </c>
      <c r="J96" s="2" t="str">
        <f t="shared" si="11"/>
        <v>RGSP</v>
      </c>
    </row>
    <row r="97" spans="1:10" x14ac:dyDescent="0.3">
      <c r="A97" s="2" t="str">
        <f t="shared" si="12"/>
        <v>Virginia-Real GDP</v>
      </c>
      <c r="B97" s="2" t="s">
        <v>90</v>
      </c>
      <c r="C97" s="2" t="str">
        <f t="shared" si="8"/>
        <v>Real GDP</v>
      </c>
      <c r="D97" s="2" t="str">
        <f t="shared" si="9"/>
        <v>Real Total Gross Domestic Product</v>
      </c>
      <c r="E97" s="2" t="str">
        <f t="shared" si="10"/>
        <v>Quarterly</v>
      </c>
      <c r="F97" s="1" t="str">
        <f t="shared" si="7"/>
        <v>VARGSP</v>
      </c>
      <c r="G97" s="2" t="str">
        <f t="shared" si="13"/>
        <v>FRED/VARGSP</v>
      </c>
      <c r="I97" s="1" t="s">
        <v>89</v>
      </c>
      <c r="J97" s="2" t="str">
        <f t="shared" si="11"/>
        <v>RGSP</v>
      </c>
    </row>
    <row r="98" spans="1:10" x14ac:dyDescent="0.3">
      <c r="A98" s="2" t="str">
        <f t="shared" si="12"/>
        <v>Washington-Real GDP</v>
      </c>
      <c r="B98" s="2" t="s">
        <v>92</v>
      </c>
      <c r="C98" s="2" t="str">
        <f t="shared" si="8"/>
        <v>Real GDP</v>
      </c>
      <c r="D98" s="2" t="str">
        <f t="shared" si="9"/>
        <v>Real Total Gross Domestic Product</v>
      </c>
      <c r="E98" s="2" t="str">
        <f t="shared" si="10"/>
        <v>Quarterly</v>
      </c>
      <c r="F98" s="1" t="str">
        <f t="shared" si="7"/>
        <v>WARGSP</v>
      </c>
      <c r="G98" s="2" t="str">
        <f t="shared" si="13"/>
        <v>FRED/WARGSP</v>
      </c>
      <c r="I98" s="1" t="s">
        <v>91</v>
      </c>
      <c r="J98" s="2" t="str">
        <f t="shared" si="11"/>
        <v>RGSP</v>
      </c>
    </row>
    <row r="99" spans="1:10" x14ac:dyDescent="0.3">
      <c r="A99" s="2" t="str">
        <f t="shared" si="12"/>
        <v>West Virginia-Real GDP</v>
      </c>
      <c r="B99" s="2" t="s">
        <v>94</v>
      </c>
      <c r="C99" s="2" t="str">
        <f t="shared" si="8"/>
        <v>Real GDP</v>
      </c>
      <c r="D99" s="2" t="str">
        <f t="shared" si="9"/>
        <v>Real Total Gross Domestic Product</v>
      </c>
      <c r="E99" s="2" t="str">
        <f t="shared" si="10"/>
        <v>Quarterly</v>
      </c>
      <c r="F99" s="1" t="str">
        <f t="shared" si="7"/>
        <v>WVRGSP</v>
      </c>
      <c r="G99" s="2" t="str">
        <f t="shared" si="13"/>
        <v>FRED/WVRGSP</v>
      </c>
      <c r="I99" s="1" t="s">
        <v>93</v>
      </c>
      <c r="J99" s="2" t="str">
        <f t="shared" si="11"/>
        <v>RGSP</v>
      </c>
    </row>
    <row r="100" spans="1:10" x14ac:dyDescent="0.3">
      <c r="A100" s="2" t="str">
        <f t="shared" si="12"/>
        <v>Wisconsin-Real GDP</v>
      </c>
      <c r="B100" s="2" t="s">
        <v>96</v>
      </c>
      <c r="C100" s="2" t="str">
        <f t="shared" si="8"/>
        <v>Real GDP</v>
      </c>
      <c r="D100" s="2" t="str">
        <f t="shared" si="9"/>
        <v>Real Total Gross Domestic Product</v>
      </c>
      <c r="E100" s="2" t="str">
        <f t="shared" si="10"/>
        <v>Quarterly</v>
      </c>
      <c r="F100" s="1" t="str">
        <f t="shared" si="7"/>
        <v>WIRGSP</v>
      </c>
      <c r="G100" s="2" t="str">
        <f t="shared" si="13"/>
        <v>FRED/WIRGSP</v>
      </c>
      <c r="I100" s="1" t="s">
        <v>95</v>
      </c>
      <c r="J100" s="2" t="str">
        <f t="shared" si="11"/>
        <v>RGSP</v>
      </c>
    </row>
    <row r="101" spans="1:10" x14ac:dyDescent="0.3">
      <c r="A101" s="2" t="str">
        <f t="shared" si="12"/>
        <v>Wyoming-Real GDP</v>
      </c>
      <c r="B101" s="2" t="s">
        <v>98</v>
      </c>
      <c r="C101" s="2" t="str">
        <f t="shared" si="8"/>
        <v>Real GDP</v>
      </c>
      <c r="D101" s="2" t="str">
        <f t="shared" si="9"/>
        <v>Real Total Gross Domestic Product</v>
      </c>
      <c r="E101" s="2" t="str">
        <f t="shared" si="10"/>
        <v>Quarterly</v>
      </c>
      <c r="F101" s="1" t="str">
        <f t="shared" si="7"/>
        <v>WYRGSP</v>
      </c>
      <c r="G101" s="2" t="str">
        <f t="shared" si="13"/>
        <v>FRED/WYRGSP</v>
      </c>
      <c r="I101" s="1" t="s">
        <v>97</v>
      </c>
      <c r="J101" s="2" t="str">
        <f t="shared" si="11"/>
        <v>RGSP</v>
      </c>
    </row>
    <row r="102" spans="1:10" x14ac:dyDescent="0.3">
      <c r="A102" s="2" t="str">
        <f t="shared" si="12"/>
        <v>Alabama-Economic Activity Index</v>
      </c>
      <c r="B102" s="2" t="s">
        <v>1</v>
      </c>
      <c r="C102" s="4" t="s">
        <v>141</v>
      </c>
      <c r="D102" s="4" t="s">
        <v>106</v>
      </c>
      <c r="E102" s="4" t="s">
        <v>103</v>
      </c>
      <c r="F102" s="1" t="str">
        <f>I102&amp;J102</f>
        <v>ALPHCI</v>
      </c>
      <c r="G102" s="2" t="str">
        <f>"FRED/"&amp;F102</f>
        <v>FRED/ALPHCI</v>
      </c>
      <c r="I102" s="1" t="s">
        <v>0</v>
      </c>
      <c r="J102" s="4" t="s">
        <v>107</v>
      </c>
    </row>
    <row r="103" spans="1:10" x14ac:dyDescent="0.3">
      <c r="A103" s="2" t="str">
        <f t="shared" si="12"/>
        <v>Alaska-Economic Activity Index</v>
      </c>
      <c r="B103" s="2" t="s">
        <v>3</v>
      </c>
      <c r="C103" s="2" t="str">
        <f>C102</f>
        <v>Economic Activity Index</v>
      </c>
      <c r="D103" s="2" t="str">
        <f>D102</f>
        <v>Coincident Economic Activity Index</v>
      </c>
      <c r="E103" s="2" t="str">
        <f>E102</f>
        <v>Monthly</v>
      </c>
      <c r="F103" s="1" t="str">
        <f t="shared" ref="F103:F151" si="14">I103&amp;J103</f>
        <v>AKPHCI</v>
      </c>
      <c r="G103" s="2" t="str">
        <f t="shared" ref="G103:G166" si="15">"FRED/"&amp;F103</f>
        <v>FRED/AKPHCI</v>
      </c>
      <c r="I103" s="1" t="s">
        <v>2</v>
      </c>
      <c r="J103" s="2" t="str">
        <f>J102</f>
        <v>PHCI</v>
      </c>
    </row>
    <row r="104" spans="1:10" x14ac:dyDescent="0.3">
      <c r="A104" s="2" t="str">
        <f t="shared" si="12"/>
        <v>Arizona-Economic Activity Index</v>
      </c>
      <c r="B104" s="2" t="s">
        <v>5</v>
      </c>
      <c r="C104" s="2" t="str">
        <f t="shared" ref="C104:C151" si="16">C103</f>
        <v>Economic Activity Index</v>
      </c>
      <c r="D104" s="2" t="str">
        <f t="shared" ref="D104:D151" si="17">D103</f>
        <v>Coincident Economic Activity Index</v>
      </c>
      <c r="E104" s="2" t="str">
        <f t="shared" ref="E104:E151" si="18">E103</f>
        <v>Monthly</v>
      </c>
      <c r="F104" s="1" t="str">
        <f t="shared" si="14"/>
        <v>AZPHCI</v>
      </c>
      <c r="G104" s="2" t="str">
        <f t="shared" si="15"/>
        <v>FRED/AZPHCI</v>
      </c>
      <c r="I104" s="1" t="s">
        <v>4</v>
      </c>
      <c r="J104" s="2" t="str">
        <f t="shared" ref="J104:J151" si="19">J103</f>
        <v>PHCI</v>
      </c>
    </row>
    <row r="105" spans="1:10" x14ac:dyDescent="0.3">
      <c r="A105" s="2" t="str">
        <f t="shared" si="12"/>
        <v>Arkansas-Economic Activity Index</v>
      </c>
      <c r="B105" s="2" t="s">
        <v>7</v>
      </c>
      <c r="C105" s="2" t="str">
        <f t="shared" si="16"/>
        <v>Economic Activity Index</v>
      </c>
      <c r="D105" s="2" t="str">
        <f t="shared" si="17"/>
        <v>Coincident Economic Activity Index</v>
      </c>
      <c r="E105" s="2" t="str">
        <f t="shared" si="18"/>
        <v>Monthly</v>
      </c>
      <c r="F105" s="1" t="str">
        <f t="shared" si="14"/>
        <v>ARPHCI</v>
      </c>
      <c r="G105" s="2" t="str">
        <f t="shared" si="15"/>
        <v>FRED/ARPHCI</v>
      </c>
      <c r="I105" s="1" t="s">
        <v>6</v>
      </c>
      <c r="J105" s="2" t="str">
        <f t="shared" si="19"/>
        <v>PHCI</v>
      </c>
    </row>
    <row r="106" spans="1:10" x14ac:dyDescent="0.3">
      <c r="A106" s="2" t="str">
        <f t="shared" si="12"/>
        <v>California-Economic Activity Index</v>
      </c>
      <c r="B106" s="2" t="s">
        <v>124</v>
      </c>
      <c r="C106" s="2" t="str">
        <f t="shared" si="16"/>
        <v>Economic Activity Index</v>
      </c>
      <c r="D106" s="2" t="str">
        <f t="shared" si="17"/>
        <v>Coincident Economic Activity Index</v>
      </c>
      <c r="E106" s="2" t="str">
        <f t="shared" si="18"/>
        <v>Monthly</v>
      </c>
      <c r="F106" s="1" t="str">
        <f t="shared" si="14"/>
        <v>CAPHCI</v>
      </c>
      <c r="G106" s="2" t="str">
        <f t="shared" si="15"/>
        <v>FRED/CAPHCI</v>
      </c>
      <c r="I106" s="1" t="s">
        <v>8</v>
      </c>
      <c r="J106" s="2" t="str">
        <f t="shared" si="19"/>
        <v>PHCI</v>
      </c>
    </row>
    <row r="107" spans="1:10" x14ac:dyDescent="0.3">
      <c r="A107" s="2" t="str">
        <f t="shared" si="12"/>
        <v>Colorado-Economic Activity Index</v>
      </c>
      <c r="B107" s="2" t="s">
        <v>10</v>
      </c>
      <c r="C107" s="2" t="str">
        <f t="shared" si="16"/>
        <v>Economic Activity Index</v>
      </c>
      <c r="D107" s="2" t="str">
        <f t="shared" si="17"/>
        <v>Coincident Economic Activity Index</v>
      </c>
      <c r="E107" s="2" t="str">
        <f t="shared" si="18"/>
        <v>Monthly</v>
      </c>
      <c r="F107" s="1" t="str">
        <f t="shared" si="14"/>
        <v>COPHCI</v>
      </c>
      <c r="G107" s="2" t="str">
        <f t="shared" si="15"/>
        <v>FRED/COPHCI</v>
      </c>
      <c r="I107" s="1" t="s">
        <v>9</v>
      </c>
      <c r="J107" s="2" t="str">
        <f t="shared" si="19"/>
        <v>PHCI</v>
      </c>
    </row>
    <row r="108" spans="1:10" x14ac:dyDescent="0.3">
      <c r="A108" s="2" t="str">
        <f t="shared" si="12"/>
        <v>Connecticut-Economic Activity Index</v>
      </c>
      <c r="B108" s="2" t="s">
        <v>12</v>
      </c>
      <c r="C108" s="2" t="str">
        <f t="shared" si="16"/>
        <v>Economic Activity Index</v>
      </c>
      <c r="D108" s="2" t="str">
        <f t="shared" si="17"/>
        <v>Coincident Economic Activity Index</v>
      </c>
      <c r="E108" s="2" t="str">
        <f t="shared" si="18"/>
        <v>Monthly</v>
      </c>
      <c r="F108" s="1" t="str">
        <f t="shared" si="14"/>
        <v>CTPHCI</v>
      </c>
      <c r="G108" s="2" t="str">
        <f t="shared" si="15"/>
        <v>FRED/CTPHCI</v>
      </c>
      <c r="I108" s="1" t="s">
        <v>11</v>
      </c>
      <c r="J108" s="2" t="str">
        <f t="shared" si="19"/>
        <v>PHCI</v>
      </c>
    </row>
    <row r="109" spans="1:10" x14ac:dyDescent="0.3">
      <c r="A109" s="2" t="str">
        <f t="shared" si="12"/>
        <v>Delaware-Economic Activity Index</v>
      </c>
      <c r="B109" s="2" t="s">
        <v>14</v>
      </c>
      <c r="C109" s="2" t="str">
        <f t="shared" si="16"/>
        <v>Economic Activity Index</v>
      </c>
      <c r="D109" s="2" t="str">
        <f t="shared" si="17"/>
        <v>Coincident Economic Activity Index</v>
      </c>
      <c r="E109" s="2" t="str">
        <f t="shared" si="18"/>
        <v>Monthly</v>
      </c>
      <c r="F109" s="1" t="str">
        <f t="shared" si="14"/>
        <v>DEPHCI</v>
      </c>
      <c r="G109" s="2" t="str">
        <f t="shared" si="15"/>
        <v>FRED/DEPHCI</v>
      </c>
      <c r="I109" s="1" t="s">
        <v>13</v>
      </c>
      <c r="J109" s="2" t="str">
        <f t="shared" si="19"/>
        <v>PHCI</v>
      </c>
    </row>
    <row r="110" spans="1:10" x14ac:dyDescent="0.3">
      <c r="A110" s="2" t="str">
        <f t="shared" si="12"/>
        <v>Florida-Economic Activity Index</v>
      </c>
      <c r="B110" s="2" t="s">
        <v>16</v>
      </c>
      <c r="C110" s="2" t="str">
        <f t="shared" si="16"/>
        <v>Economic Activity Index</v>
      </c>
      <c r="D110" s="2" t="str">
        <f t="shared" si="17"/>
        <v>Coincident Economic Activity Index</v>
      </c>
      <c r="E110" s="2" t="str">
        <f t="shared" si="18"/>
        <v>Monthly</v>
      </c>
      <c r="F110" s="1" t="str">
        <f t="shared" si="14"/>
        <v>FLPHCI</v>
      </c>
      <c r="G110" s="2" t="str">
        <f t="shared" si="15"/>
        <v>FRED/FLPHCI</v>
      </c>
      <c r="I110" s="1" t="s">
        <v>15</v>
      </c>
      <c r="J110" s="2" t="str">
        <f t="shared" si="19"/>
        <v>PHCI</v>
      </c>
    </row>
    <row r="111" spans="1:10" x14ac:dyDescent="0.3">
      <c r="A111" s="2" t="str">
        <f t="shared" si="12"/>
        <v>Georgia-Economic Activity Index</v>
      </c>
      <c r="B111" s="2" t="s">
        <v>18</v>
      </c>
      <c r="C111" s="2" t="str">
        <f t="shared" si="16"/>
        <v>Economic Activity Index</v>
      </c>
      <c r="D111" s="2" t="str">
        <f t="shared" si="17"/>
        <v>Coincident Economic Activity Index</v>
      </c>
      <c r="E111" s="2" t="str">
        <f t="shared" si="18"/>
        <v>Monthly</v>
      </c>
      <c r="F111" s="1" t="str">
        <f t="shared" si="14"/>
        <v>GAPHCI</v>
      </c>
      <c r="G111" s="2" t="str">
        <f t="shared" si="15"/>
        <v>FRED/GAPHCI</v>
      </c>
      <c r="I111" s="1" t="s">
        <v>17</v>
      </c>
      <c r="J111" s="2" t="str">
        <f t="shared" si="19"/>
        <v>PHCI</v>
      </c>
    </row>
    <row r="112" spans="1:10" x14ac:dyDescent="0.3">
      <c r="A112" s="2" t="str">
        <f t="shared" si="12"/>
        <v>Hawaii-Economic Activity Index</v>
      </c>
      <c r="B112" s="2" t="s">
        <v>20</v>
      </c>
      <c r="C112" s="2" t="str">
        <f t="shared" si="16"/>
        <v>Economic Activity Index</v>
      </c>
      <c r="D112" s="2" t="str">
        <f t="shared" si="17"/>
        <v>Coincident Economic Activity Index</v>
      </c>
      <c r="E112" s="2" t="str">
        <f t="shared" si="18"/>
        <v>Monthly</v>
      </c>
      <c r="F112" s="1" t="str">
        <f t="shared" si="14"/>
        <v>HIPHCI</v>
      </c>
      <c r="G112" s="2" t="str">
        <f t="shared" si="15"/>
        <v>FRED/HIPHCI</v>
      </c>
      <c r="I112" s="1" t="s">
        <v>19</v>
      </c>
      <c r="J112" s="2" t="str">
        <f t="shared" si="19"/>
        <v>PHCI</v>
      </c>
    </row>
    <row r="113" spans="1:10" x14ac:dyDescent="0.3">
      <c r="A113" s="2" t="str">
        <f t="shared" si="12"/>
        <v>Idaho-Economic Activity Index</v>
      </c>
      <c r="B113" s="2" t="s">
        <v>22</v>
      </c>
      <c r="C113" s="2" t="str">
        <f t="shared" si="16"/>
        <v>Economic Activity Index</v>
      </c>
      <c r="D113" s="2" t="str">
        <f t="shared" si="17"/>
        <v>Coincident Economic Activity Index</v>
      </c>
      <c r="E113" s="2" t="str">
        <f t="shared" si="18"/>
        <v>Monthly</v>
      </c>
      <c r="F113" s="1" t="str">
        <f t="shared" si="14"/>
        <v>IDPHCI</v>
      </c>
      <c r="G113" s="2" t="str">
        <f t="shared" si="15"/>
        <v>FRED/IDPHCI</v>
      </c>
      <c r="I113" s="1" t="s">
        <v>21</v>
      </c>
      <c r="J113" s="2" t="str">
        <f t="shared" si="19"/>
        <v>PHCI</v>
      </c>
    </row>
    <row r="114" spans="1:10" x14ac:dyDescent="0.3">
      <c r="A114" s="2" t="str">
        <f t="shared" si="12"/>
        <v>Illinois-Economic Activity Index</v>
      </c>
      <c r="B114" s="2" t="s">
        <v>24</v>
      </c>
      <c r="C114" s="2" t="str">
        <f t="shared" si="16"/>
        <v>Economic Activity Index</v>
      </c>
      <c r="D114" s="2" t="str">
        <f t="shared" si="17"/>
        <v>Coincident Economic Activity Index</v>
      </c>
      <c r="E114" s="2" t="str">
        <f t="shared" si="18"/>
        <v>Monthly</v>
      </c>
      <c r="F114" s="1" t="str">
        <f t="shared" si="14"/>
        <v>ILPHCI</v>
      </c>
      <c r="G114" s="2" t="str">
        <f t="shared" si="15"/>
        <v>FRED/ILPHCI</v>
      </c>
      <c r="I114" s="1" t="s">
        <v>23</v>
      </c>
      <c r="J114" s="2" t="str">
        <f t="shared" si="19"/>
        <v>PHCI</v>
      </c>
    </row>
    <row r="115" spans="1:10" x14ac:dyDescent="0.3">
      <c r="A115" s="2" t="str">
        <f t="shared" si="12"/>
        <v>Indiana-Economic Activity Index</v>
      </c>
      <c r="B115" s="2" t="s">
        <v>26</v>
      </c>
      <c r="C115" s="2" t="str">
        <f t="shared" si="16"/>
        <v>Economic Activity Index</v>
      </c>
      <c r="D115" s="2" t="str">
        <f t="shared" si="17"/>
        <v>Coincident Economic Activity Index</v>
      </c>
      <c r="E115" s="2" t="str">
        <f t="shared" si="18"/>
        <v>Monthly</v>
      </c>
      <c r="F115" s="1" t="str">
        <f t="shared" si="14"/>
        <v>INPHCI</v>
      </c>
      <c r="G115" s="2" t="str">
        <f t="shared" si="15"/>
        <v>FRED/INPHCI</v>
      </c>
      <c r="I115" s="1" t="s">
        <v>25</v>
      </c>
      <c r="J115" s="2" t="str">
        <f t="shared" si="19"/>
        <v>PHCI</v>
      </c>
    </row>
    <row r="116" spans="1:10" x14ac:dyDescent="0.3">
      <c r="A116" s="2" t="str">
        <f t="shared" si="12"/>
        <v>Iowa-Economic Activity Index</v>
      </c>
      <c r="B116" s="2" t="s">
        <v>28</v>
      </c>
      <c r="C116" s="2" t="str">
        <f t="shared" si="16"/>
        <v>Economic Activity Index</v>
      </c>
      <c r="D116" s="2" t="str">
        <f t="shared" si="17"/>
        <v>Coincident Economic Activity Index</v>
      </c>
      <c r="E116" s="2" t="str">
        <f t="shared" si="18"/>
        <v>Monthly</v>
      </c>
      <c r="F116" s="1" t="str">
        <f t="shared" si="14"/>
        <v>IAPHCI</v>
      </c>
      <c r="G116" s="2" t="str">
        <f t="shared" si="15"/>
        <v>FRED/IAPHCI</v>
      </c>
      <c r="I116" s="1" t="s">
        <v>27</v>
      </c>
      <c r="J116" s="2" t="str">
        <f t="shared" si="19"/>
        <v>PHCI</v>
      </c>
    </row>
    <row r="117" spans="1:10" x14ac:dyDescent="0.3">
      <c r="A117" s="2" t="str">
        <f t="shared" si="12"/>
        <v>Kansas-Economic Activity Index</v>
      </c>
      <c r="B117" s="2" t="s">
        <v>30</v>
      </c>
      <c r="C117" s="2" t="str">
        <f t="shared" si="16"/>
        <v>Economic Activity Index</v>
      </c>
      <c r="D117" s="2" t="str">
        <f t="shared" si="17"/>
        <v>Coincident Economic Activity Index</v>
      </c>
      <c r="E117" s="2" t="str">
        <f t="shared" si="18"/>
        <v>Monthly</v>
      </c>
      <c r="F117" s="1" t="str">
        <f t="shared" si="14"/>
        <v>KSPHCI</v>
      </c>
      <c r="G117" s="2" t="str">
        <f t="shared" si="15"/>
        <v>FRED/KSPHCI</v>
      </c>
      <c r="I117" s="1" t="s">
        <v>29</v>
      </c>
      <c r="J117" s="2" t="str">
        <f t="shared" si="19"/>
        <v>PHCI</v>
      </c>
    </row>
    <row r="118" spans="1:10" x14ac:dyDescent="0.3">
      <c r="A118" s="2" t="str">
        <f t="shared" si="12"/>
        <v>Kentucky-Economic Activity Index</v>
      </c>
      <c r="B118" s="2" t="s">
        <v>32</v>
      </c>
      <c r="C118" s="2" t="str">
        <f t="shared" si="16"/>
        <v>Economic Activity Index</v>
      </c>
      <c r="D118" s="2" t="str">
        <f t="shared" si="17"/>
        <v>Coincident Economic Activity Index</v>
      </c>
      <c r="E118" s="2" t="str">
        <f t="shared" si="18"/>
        <v>Monthly</v>
      </c>
      <c r="F118" s="1" t="str">
        <f t="shared" si="14"/>
        <v>KYPHCI</v>
      </c>
      <c r="G118" s="2" t="str">
        <f t="shared" si="15"/>
        <v>FRED/KYPHCI</v>
      </c>
      <c r="I118" s="1" t="s">
        <v>31</v>
      </c>
      <c r="J118" s="2" t="str">
        <f t="shared" si="19"/>
        <v>PHCI</v>
      </c>
    </row>
    <row r="119" spans="1:10" x14ac:dyDescent="0.3">
      <c r="A119" s="2" t="str">
        <f t="shared" si="12"/>
        <v>Louisiana-Economic Activity Index</v>
      </c>
      <c r="B119" s="2" t="s">
        <v>34</v>
      </c>
      <c r="C119" s="2" t="str">
        <f t="shared" si="16"/>
        <v>Economic Activity Index</v>
      </c>
      <c r="D119" s="2" t="str">
        <f t="shared" si="17"/>
        <v>Coincident Economic Activity Index</v>
      </c>
      <c r="E119" s="2" t="str">
        <f t="shared" si="18"/>
        <v>Monthly</v>
      </c>
      <c r="F119" s="1" t="str">
        <f t="shared" si="14"/>
        <v>LAPHCI</v>
      </c>
      <c r="G119" s="2" t="str">
        <f t="shared" si="15"/>
        <v>FRED/LAPHCI</v>
      </c>
      <c r="I119" s="1" t="s">
        <v>33</v>
      </c>
      <c r="J119" s="2" t="str">
        <f t="shared" si="19"/>
        <v>PHCI</v>
      </c>
    </row>
    <row r="120" spans="1:10" x14ac:dyDescent="0.3">
      <c r="A120" s="2" t="str">
        <f t="shared" si="12"/>
        <v>Maine-Economic Activity Index</v>
      </c>
      <c r="B120" s="2" t="s">
        <v>36</v>
      </c>
      <c r="C120" s="2" t="str">
        <f t="shared" si="16"/>
        <v>Economic Activity Index</v>
      </c>
      <c r="D120" s="2" t="str">
        <f t="shared" si="17"/>
        <v>Coincident Economic Activity Index</v>
      </c>
      <c r="E120" s="2" t="str">
        <f t="shared" si="18"/>
        <v>Monthly</v>
      </c>
      <c r="F120" s="1" t="str">
        <f t="shared" si="14"/>
        <v>MEPHCI</v>
      </c>
      <c r="G120" s="2" t="str">
        <f t="shared" si="15"/>
        <v>FRED/MEPHCI</v>
      </c>
      <c r="I120" s="1" t="s">
        <v>35</v>
      </c>
      <c r="J120" s="2" t="str">
        <f t="shared" si="19"/>
        <v>PHCI</v>
      </c>
    </row>
    <row r="121" spans="1:10" x14ac:dyDescent="0.3">
      <c r="A121" s="2" t="str">
        <f t="shared" si="12"/>
        <v>Maryland-Economic Activity Index</v>
      </c>
      <c r="B121" s="2" t="s">
        <v>38</v>
      </c>
      <c r="C121" s="2" t="str">
        <f t="shared" si="16"/>
        <v>Economic Activity Index</v>
      </c>
      <c r="D121" s="2" t="str">
        <f t="shared" si="17"/>
        <v>Coincident Economic Activity Index</v>
      </c>
      <c r="E121" s="2" t="str">
        <f t="shared" si="18"/>
        <v>Monthly</v>
      </c>
      <c r="F121" s="1" t="str">
        <f t="shared" si="14"/>
        <v>MDPHCI</v>
      </c>
      <c r="G121" s="2" t="str">
        <f t="shared" si="15"/>
        <v>FRED/MDPHCI</v>
      </c>
      <c r="I121" s="1" t="s">
        <v>37</v>
      </c>
      <c r="J121" s="2" t="str">
        <f t="shared" si="19"/>
        <v>PHCI</v>
      </c>
    </row>
    <row r="122" spans="1:10" x14ac:dyDescent="0.3">
      <c r="A122" s="2" t="str">
        <f t="shared" si="12"/>
        <v>Massachusetts-Economic Activity Index</v>
      </c>
      <c r="B122" s="2" t="s">
        <v>40</v>
      </c>
      <c r="C122" s="2" t="str">
        <f t="shared" si="16"/>
        <v>Economic Activity Index</v>
      </c>
      <c r="D122" s="2" t="str">
        <f t="shared" si="17"/>
        <v>Coincident Economic Activity Index</v>
      </c>
      <c r="E122" s="2" t="str">
        <f t="shared" si="18"/>
        <v>Monthly</v>
      </c>
      <c r="F122" s="1" t="str">
        <f t="shared" si="14"/>
        <v>MAPHCI</v>
      </c>
      <c r="G122" s="2" t="str">
        <f t="shared" si="15"/>
        <v>FRED/MAPHCI</v>
      </c>
      <c r="I122" s="1" t="s">
        <v>39</v>
      </c>
      <c r="J122" s="2" t="str">
        <f t="shared" si="19"/>
        <v>PHCI</v>
      </c>
    </row>
    <row r="123" spans="1:10" x14ac:dyDescent="0.3">
      <c r="A123" s="2" t="str">
        <f t="shared" si="12"/>
        <v>Michigan-Economic Activity Index</v>
      </c>
      <c r="B123" s="2" t="s">
        <v>42</v>
      </c>
      <c r="C123" s="2" t="str">
        <f t="shared" si="16"/>
        <v>Economic Activity Index</v>
      </c>
      <c r="D123" s="2" t="str">
        <f t="shared" si="17"/>
        <v>Coincident Economic Activity Index</v>
      </c>
      <c r="E123" s="2" t="str">
        <f t="shared" si="18"/>
        <v>Monthly</v>
      </c>
      <c r="F123" s="1" t="str">
        <f t="shared" si="14"/>
        <v>MIPHCI</v>
      </c>
      <c r="G123" s="2" t="str">
        <f t="shared" si="15"/>
        <v>FRED/MIPHCI</v>
      </c>
      <c r="I123" s="1" t="s">
        <v>41</v>
      </c>
      <c r="J123" s="2" t="str">
        <f t="shared" si="19"/>
        <v>PHCI</v>
      </c>
    </row>
    <row r="124" spans="1:10" x14ac:dyDescent="0.3">
      <c r="A124" s="2" t="str">
        <f t="shared" si="12"/>
        <v>Minnesota-Economic Activity Index</v>
      </c>
      <c r="B124" s="2" t="s">
        <v>44</v>
      </c>
      <c r="C124" s="2" t="str">
        <f t="shared" si="16"/>
        <v>Economic Activity Index</v>
      </c>
      <c r="D124" s="2" t="str">
        <f t="shared" si="17"/>
        <v>Coincident Economic Activity Index</v>
      </c>
      <c r="E124" s="2" t="str">
        <f t="shared" si="18"/>
        <v>Monthly</v>
      </c>
      <c r="F124" s="1" t="str">
        <f t="shared" si="14"/>
        <v>MNPHCI</v>
      </c>
      <c r="G124" s="2" t="str">
        <f t="shared" si="15"/>
        <v>FRED/MNPHCI</v>
      </c>
      <c r="I124" s="1" t="s">
        <v>43</v>
      </c>
      <c r="J124" s="2" t="str">
        <f t="shared" si="19"/>
        <v>PHCI</v>
      </c>
    </row>
    <row r="125" spans="1:10" x14ac:dyDescent="0.3">
      <c r="A125" s="2" t="str">
        <f t="shared" si="12"/>
        <v>Mississippi-Economic Activity Index</v>
      </c>
      <c r="B125" s="2" t="s">
        <v>46</v>
      </c>
      <c r="C125" s="2" t="str">
        <f t="shared" si="16"/>
        <v>Economic Activity Index</v>
      </c>
      <c r="D125" s="2" t="str">
        <f t="shared" si="17"/>
        <v>Coincident Economic Activity Index</v>
      </c>
      <c r="E125" s="2" t="str">
        <f t="shared" si="18"/>
        <v>Monthly</v>
      </c>
      <c r="F125" s="1" t="str">
        <f t="shared" si="14"/>
        <v>MSPHCI</v>
      </c>
      <c r="G125" s="2" t="str">
        <f t="shared" si="15"/>
        <v>FRED/MSPHCI</v>
      </c>
      <c r="I125" s="1" t="s">
        <v>45</v>
      </c>
      <c r="J125" s="2" t="str">
        <f t="shared" si="19"/>
        <v>PHCI</v>
      </c>
    </row>
    <row r="126" spans="1:10" x14ac:dyDescent="0.3">
      <c r="A126" s="2" t="str">
        <f t="shared" si="12"/>
        <v>Missouri-Economic Activity Index</v>
      </c>
      <c r="B126" s="2" t="s">
        <v>48</v>
      </c>
      <c r="C126" s="2" t="str">
        <f t="shared" si="16"/>
        <v>Economic Activity Index</v>
      </c>
      <c r="D126" s="2" t="str">
        <f t="shared" si="17"/>
        <v>Coincident Economic Activity Index</v>
      </c>
      <c r="E126" s="2" t="str">
        <f t="shared" si="18"/>
        <v>Monthly</v>
      </c>
      <c r="F126" s="1" t="str">
        <f t="shared" si="14"/>
        <v>MOPHCI</v>
      </c>
      <c r="G126" s="2" t="str">
        <f t="shared" si="15"/>
        <v>FRED/MOPHCI</v>
      </c>
      <c r="I126" s="1" t="s">
        <v>47</v>
      </c>
      <c r="J126" s="2" t="str">
        <f t="shared" si="19"/>
        <v>PHCI</v>
      </c>
    </row>
    <row r="127" spans="1:10" x14ac:dyDescent="0.3">
      <c r="A127" s="2" t="str">
        <f t="shared" si="12"/>
        <v>Montana-Economic Activity Index</v>
      </c>
      <c r="B127" s="2" t="s">
        <v>50</v>
      </c>
      <c r="C127" s="2" t="str">
        <f t="shared" si="16"/>
        <v>Economic Activity Index</v>
      </c>
      <c r="D127" s="2" t="str">
        <f t="shared" si="17"/>
        <v>Coincident Economic Activity Index</v>
      </c>
      <c r="E127" s="2" t="str">
        <f t="shared" si="18"/>
        <v>Monthly</v>
      </c>
      <c r="F127" s="1" t="str">
        <f t="shared" si="14"/>
        <v>MTPHCI</v>
      </c>
      <c r="G127" s="2" t="str">
        <f t="shared" si="15"/>
        <v>FRED/MTPHCI</v>
      </c>
      <c r="I127" s="1" t="s">
        <v>49</v>
      </c>
      <c r="J127" s="2" t="str">
        <f t="shared" si="19"/>
        <v>PHCI</v>
      </c>
    </row>
    <row r="128" spans="1:10" x14ac:dyDescent="0.3">
      <c r="A128" s="2" t="str">
        <f t="shared" si="12"/>
        <v>Nebraska-Economic Activity Index</v>
      </c>
      <c r="B128" s="2" t="s">
        <v>52</v>
      </c>
      <c r="C128" s="2" t="str">
        <f t="shared" si="16"/>
        <v>Economic Activity Index</v>
      </c>
      <c r="D128" s="2" t="str">
        <f t="shared" si="17"/>
        <v>Coincident Economic Activity Index</v>
      </c>
      <c r="E128" s="2" t="str">
        <f t="shared" si="18"/>
        <v>Monthly</v>
      </c>
      <c r="F128" s="1" t="str">
        <f t="shared" si="14"/>
        <v>NEPHCI</v>
      </c>
      <c r="G128" s="2" t="str">
        <f t="shared" si="15"/>
        <v>FRED/NEPHCI</v>
      </c>
      <c r="I128" s="1" t="s">
        <v>51</v>
      </c>
      <c r="J128" s="2" t="str">
        <f t="shared" si="19"/>
        <v>PHCI</v>
      </c>
    </row>
    <row r="129" spans="1:10" x14ac:dyDescent="0.3">
      <c r="A129" s="2" t="str">
        <f t="shared" si="12"/>
        <v>Nevada-Economic Activity Index</v>
      </c>
      <c r="B129" s="2" t="s">
        <v>54</v>
      </c>
      <c r="C129" s="2" t="str">
        <f t="shared" si="16"/>
        <v>Economic Activity Index</v>
      </c>
      <c r="D129" s="2" t="str">
        <f t="shared" si="17"/>
        <v>Coincident Economic Activity Index</v>
      </c>
      <c r="E129" s="2" t="str">
        <f t="shared" si="18"/>
        <v>Monthly</v>
      </c>
      <c r="F129" s="1" t="str">
        <f t="shared" si="14"/>
        <v>NVPHCI</v>
      </c>
      <c r="G129" s="2" t="str">
        <f t="shared" si="15"/>
        <v>FRED/NVPHCI</v>
      </c>
      <c r="I129" s="1" t="s">
        <v>53</v>
      </c>
      <c r="J129" s="2" t="str">
        <f t="shared" si="19"/>
        <v>PHCI</v>
      </c>
    </row>
    <row r="130" spans="1:10" x14ac:dyDescent="0.3">
      <c r="A130" s="2" t="str">
        <f t="shared" si="12"/>
        <v>New Hampshire-Economic Activity Index</v>
      </c>
      <c r="B130" s="2" t="s">
        <v>56</v>
      </c>
      <c r="C130" s="2" t="str">
        <f t="shared" si="16"/>
        <v>Economic Activity Index</v>
      </c>
      <c r="D130" s="2" t="str">
        <f t="shared" si="17"/>
        <v>Coincident Economic Activity Index</v>
      </c>
      <c r="E130" s="2" t="str">
        <f t="shared" si="18"/>
        <v>Monthly</v>
      </c>
      <c r="F130" s="1" t="str">
        <f t="shared" si="14"/>
        <v>NHPHCI</v>
      </c>
      <c r="G130" s="2" t="str">
        <f t="shared" si="15"/>
        <v>FRED/NHPHCI</v>
      </c>
      <c r="I130" s="1" t="s">
        <v>55</v>
      </c>
      <c r="J130" s="2" t="str">
        <f t="shared" si="19"/>
        <v>PHCI</v>
      </c>
    </row>
    <row r="131" spans="1:10" x14ac:dyDescent="0.3">
      <c r="A131" s="2" t="str">
        <f t="shared" ref="A131:A194" si="20">B131&amp;"-"&amp;C131</f>
        <v>New Jersey-Economic Activity Index</v>
      </c>
      <c r="B131" s="2" t="s">
        <v>58</v>
      </c>
      <c r="C131" s="2" t="str">
        <f t="shared" si="16"/>
        <v>Economic Activity Index</v>
      </c>
      <c r="D131" s="2" t="str">
        <f t="shared" si="17"/>
        <v>Coincident Economic Activity Index</v>
      </c>
      <c r="E131" s="2" t="str">
        <f t="shared" si="18"/>
        <v>Monthly</v>
      </c>
      <c r="F131" s="1" t="str">
        <f t="shared" si="14"/>
        <v>NJPHCI</v>
      </c>
      <c r="G131" s="2" t="str">
        <f t="shared" si="15"/>
        <v>FRED/NJPHCI</v>
      </c>
      <c r="I131" s="1" t="s">
        <v>57</v>
      </c>
      <c r="J131" s="2" t="str">
        <f t="shared" si="19"/>
        <v>PHCI</v>
      </c>
    </row>
    <row r="132" spans="1:10" x14ac:dyDescent="0.3">
      <c r="A132" s="2" t="str">
        <f t="shared" si="20"/>
        <v>New Mexico-Economic Activity Index</v>
      </c>
      <c r="B132" s="2" t="s">
        <v>60</v>
      </c>
      <c r="C132" s="2" t="str">
        <f t="shared" si="16"/>
        <v>Economic Activity Index</v>
      </c>
      <c r="D132" s="2" t="str">
        <f t="shared" si="17"/>
        <v>Coincident Economic Activity Index</v>
      </c>
      <c r="E132" s="2" t="str">
        <f t="shared" si="18"/>
        <v>Monthly</v>
      </c>
      <c r="F132" s="1" t="str">
        <f t="shared" si="14"/>
        <v>NMPHCI</v>
      </c>
      <c r="G132" s="2" t="str">
        <f t="shared" si="15"/>
        <v>FRED/NMPHCI</v>
      </c>
      <c r="I132" s="1" t="s">
        <v>59</v>
      </c>
      <c r="J132" s="2" t="str">
        <f t="shared" si="19"/>
        <v>PHCI</v>
      </c>
    </row>
    <row r="133" spans="1:10" x14ac:dyDescent="0.3">
      <c r="A133" s="2" t="str">
        <f t="shared" si="20"/>
        <v>New York-Economic Activity Index</v>
      </c>
      <c r="B133" s="2" t="s">
        <v>62</v>
      </c>
      <c r="C133" s="2" t="str">
        <f t="shared" si="16"/>
        <v>Economic Activity Index</v>
      </c>
      <c r="D133" s="2" t="str">
        <f t="shared" si="17"/>
        <v>Coincident Economic Activity Index</v>
      </c>
      <c r="E133" s="2" t="str">
        <f t="shared" si="18"/>
        <v>Monthly</v>
      </c>
      <c r="F133" s="1" t="str">
        <f t="shared" si="14"/>
        <v>NYPHCI</v>
      </c>
      <c r="G133" s="2" t="str">
        <f t="shared" si="15"/>
        <v>FRED/NYPHCI</v>
      </c>
      <c r="I133" s="1" t="s">
        <v>61</v>
      </c>
      <c r="J133" s="2" t="str">
        <f t="shared" si="19"/>
        <v>PHCI</v>
      </c>
    </row>
    <row r="134" spans="1:10" x14ac:dyDescent="0.3">
      <c r="A134" s="2" t="str">
        <f t="shared" si="20"/>
        <v>North Carolina-Economic Activity Index</v>
      </c>
      <c r="B134" s="2" t="s">
        <v>64</v>
      </c>
      <c r="C134" s="2" t="str">
        <f t="shared" si="16"/>
        <v>Economic Activity Index</v>
      </c>
      <c r="D134" s="2" t="str">
        <f t="shared" si="17"/>
        <v>Coincident Economic Activity Index</v>
      </c>
      <c r="E134" s="2" t="str">
        <f t="shared" si="18"/>
        <v>Monthly</v>
      </c>
      <c r="F134" s="1" t="str">
        <f t="shared" si="14"/>
        <v>NCPHCI</v>
      </c>
      <c r="G134" s="2" t="str">
        <f t="shared" si="15"/>
        <v>FRED/NCPHCI</v>
      </c>
      <c r="I134" s="1" t="s">
        <v>63</v>
      </c>
      <c r="J134" s="2" t="str">
        <f t="shared" si="19"/>
        <v>PHCI</v>
      </c>
    </row>
    <row r="135" spans="1:10" x14ac:dyDescent="0.3">
      <c r="A135" s="2" t="str">
        <f t="shared" si="20"/>
        <v>North Dakota-Economic Activity Index</v>
      </c>
      <c r="B135" s="2" t="s">
        <v>66</v>
      </c>
      <c r="C135" s="2" t="str">
        <f t="shared" si="16"/>
        <v>Economic Activity Index</v>
      </c>
      <c r="D135" s="2" t="str">
        <f t="shared" si="17"/>
        <v>Coincident Economic Activity Index</v>
      </c>
      <c r="E135" s="2" t="str">
        <f t="shared" si="18"/>
        <v>Monthly</v>
      </c>
      <c r="F135" s="1" t="str">
        <f t="shared" si="14"/>
        <v>NDPHCI</v>
      </c>
      <c r="G135" s="2" t="str">
        <f t="shared" si="15"/>
        <v>FRED/NDPHCI</v>
      </c>
      <c r="I135" s="1" t="s">
        <v>65</v>
      </c>
      <c r="J135" s="2" t="str">
        <f t="shared" si="19"/>
        <v>PHCI</v>
      </c>
    </row>
    <row r="136" spans="1:10" x14ac:dyDescent="0.3">
      <c r="A136" s="2" t="str">
        <f t="shared" si="20"/>
        <v>Ohio-Economic Activity Index</v>
      </c>
      <c r="B136" s="2" t="s">
        <v>68</v>
      </c>
      <c r="C136" s="2" t="str">
        <f t="shared" si="16"/>
        <v>Economic Activity Index</v>
      </c>
      <c r="D136" s="2" t="str">
        <f t="shared" si="17"/>
        <v>Coincident Economic Activity Index</v>
      </c>
      <c r="E136" s="2" t="str">
        <f t="shared" si="18"/>
        <v>Monthly</v>
      </c>
      <c r="F136" s="1" t="str">
        <f t="shared" si="14"/>
        <v>OHPHCI</v>
      </c>
      <c r="G136" s="2" t="str">
        <f t="shared" si="15"/>
        <v>FRED/OHPHCI</v>
      </c>
      <c r="I136" s="1" t="s">
        <v>67</v>
      </c>
      <c r="J136" s="2" t="str">
        <f t="shared" si="19"/>
        <v>PHCI</v>
      </c>
    </row>
    <row r="137" spans="1:10" x14ac:dyDescent="0.3">
      <c r="A137" s="2" t="str">
        <f t="shared" si="20"/>
        <v>Oklahoma-Economic Activity Index</v>
      </c>
      <c r="B137" s="2" t="s">
        <v>70</v>
      </c>
      <c r="C137" s="2" t="str">
        <f t="shared" si="16"/>
        <v>Economic Activity Index</v>
      </c>
      <c r="D137" s="2" t="str">
        <f t="shared" si="17"/>
        <v>Coincident Economic Activity Index</v>
      </c>
      <c r="E137" s="2" t="str">
        <f t="shared" si="18"/>
        <v>Monthly</v>
      </c>
      <c r="F137" s="1" t="str">
        <f t="shared" si="14"/>
        <v>OKPHCI</v>
      </c>
      <c r="G137" s="2" t="str">
        <f t="shared" si="15"/>
        <v>FRED/OKPHCI</v>
      </c>
      <c r="I137" s="1" t="s">
        <v>69</v>
      </c>
      <c r="J137" s="2" t="str">
        <f t="shared" si="19"/>
        <v>PHCI</v>
      </c>
    </row>
    <row r="138" spans="1:10" x14ac:dyDescent="0.3">
      <c r="A138" s="2" t="str">
        <f t="shared" si="20"/>
        <v>Oregon-Economic Activity Index</v>
      </c>
      <c r="B138" s="2" t="s">
        <v>72</v>
      </c>
      <c r="C138" s="2" t="str">
        <f t="shared" si="16"/>
        <v>Economic Activity Index</v>
      </c>
      <c r="D138" s="2" t="str">
        <f t="shared" si="17"/>
        <v>Coincident Economic Activity Index</v>
      </c>
      <c r="E138" s="2" t="str">
        <f t="shared" si="18"/>
        <v>Monthly</v>
      </c>
      <c r="F138" s="1" t="str">
        <f t="shared" si="14"/>
        <v>ORPHCI</v>
      </c>
      <c r="G138" s="2" t="str">
        <f t="shared" si="15"/>
        <v>FRED/ORPHCI</v>
      </c>
      <c r="I138" s="1" t="s">
        <v>71</v>
      </c>
      <c r="J138" s="2" t="str">
        <f t="shared" si="19"/>
        <v>PHCI</v>
      </c>
    </row>
    <row r="139" spans="1:10" x14ac:dyDescent="0.3">
      <c r="A139" s="2" t="str">
        <f t="shared" si="20"/>
        <v>Pennsylvania-Economic Activity Index</v>
      </c>
      <c r="B139" s="2" t="s">
        <v>74</v>
      </c>
      <c r="C139" s="2" t="str">
        <f t="shared" si="16"/>
        <v>Economic Activity Index</v>
      </c>
      <c r="D139" s="2" t="str">
        <f t="shared" si="17"/>
        <v>Coincident Economic Activity Index</v>
      </c>
      <c r="E139" s="2" t="str">
        <f t="shared" si="18"/>
        <v>Monthly</v>
      </c>
      <c r="F139" s="1" t="str">
        <f t="shared" si="14"/>
        <v>PAPHCI</v>
      </c>
      <c r="G139" s="2" t="str">
        <f t="shared" si="15"/>
        <v>FRED/PAPHCI</v>
      </c>
      <c r="I139" s="1" t="s">
        <v>73</v>
      </c>
      <c r="J139" s="2" t="str">
        <f t="shared" si="19"/>
        <v>PHCI</v>
      </c>
    </row>
    <row r="140" spans="1:10" x14ac:dyDescent="0.3">
      <c r="A140" s="2" t="str">
        <f t="shared" si="20"/>
        <v>Rhode Island-Economic Activity Index</v>
      </c>
      <c r="B140" s="2" t="s">
        <v>76</v>
      </c>
      <c r="C140" s="2" t="str">
        <f t="shared" si="16"/>
        <v>Economic Activity Index</v>
      </c>
      <c r="D140" s="2" t="str">
        <f t="shared" si="17"/>
        <v>Coincident Economic Activity Index</v>
      </c>
      <c r="E140" s="2" t="str">
        <f t="shared" si="18"/>
        <v>Monthly</v>
      </c>
      <c r="F140" s="1" t="str">
        <f t="shared" si="14"/>
        <v>RIPHCI</v>
      </c>
      <c r="G140" s="2" t="str">
        <f t="shared" si="15"/>
        <v>FRED/RIPHCI</v>
      </c>
      <c r="I140" s="1" t="s">
        <v>75</v>
      </c>
      <c r="J140" s="2" t="str">
        <f t="shared" si="19"/>
        <v>PHCI</v>
      </c>
    </row>
    <row r="141" spans="1:10" x14ac:dyDescent="0.3">
      <c r="A141" s="2" t="str">
        <f t="shared" si="20"/>
        <v>South Carolina-Economic Activity Index</v>
      </c>
      <c r="B141" s="2" t="s">
        <v>78</v>
      </c>
      <c r="C141" s="2" t="str">
        <f t="shared" si="16"/>
        <v>Economic Activity Index</v>
      </c>
      <c r="D141" s="2" t="str">
        <f t="shared" si="17"/>
        <v>Coincident Economic Activity Index</v>
      </c>
      <c r="E141" s="2" t="str">
        <f t="shared" si="18"/>
        <v>Monthly</v>
      </c>
      <c r="F141" s="1" t="str">
        <f t="shared" si="14"/>
        <v>SCPHCI</v>
      </c>
      <c r="G141" s="2" t="str">
        <f t="shared" si="15"/>
        <v>FRED/SCPHCI</v>
      </c>
      <c r="I141" s="1" t="s">
        <v>77</v>
      </c>
      <c r="J141" s="2" t="str">
        <f t="shared" si="19"/>
        <v>PHCI</v>
      </c>
    </row>
    <row r="142" spans="1:10" x14ac:dyDescent="0.3">
      <c r="A142" s="2" t="str">
        <f t="shared" si="20"/>
        <v>South Dakota-Economic Activity Index</v>
      </c>
      <c r="B142" s="2" t="s">
        <v>80</v>
      </c>
      <c r="C142" s="2" t="str">
        <f t="shared" si="16"/>
        <v>Economic Activity Index</v>
      </c>
      <c r="D142" s="2" t="str">
        <f t="shared" si="17"/>
        <v>Coincident Economic Activity Index</v>
      </c>
      <c r="E142" s="2" t="str">
        <f t="shared" si="18"/>
        <v>Monthly</v>
      </c>
      <c r="F142" s="1" t="str">
        <f t="shared" si="14"/>
        <v>SDPHCI</v>
      </c>
      <c r="G142" s="2" t="str">
        <f t="shared" si="15"/>
        <v>FRED/SDPHCI</v>
      </c>
      <c r="I142" s="1" t="s">
        <v>79</v>
      </c>
      <c r="J142" s="2" t="str">
        <f t="shared" si="19"/>
        <v>PHCI</v>
      </c>
    </row>
    <row r="143" spans="1:10" x14ac:dyDescent="0.3">
      <c r="A143" s="2" t="str">
        <f t="shared" si="20"/>
        <v>Tennessee-Economic Activity Index</v>
      </c>
      <c r="B143" s="2" t="s">
        <v>82</v>
      </c>
      <c r="C143" s="2" t="str">
        <f t="shared" si="16"/>
        <v>Economic Activity Index</v>
      </c>
      <c r="D143" s="2" t="str">
        <f t="shared" si="17"/>
        <v>Coincident Economic Activity Index</v>
      </c>
      <c r="E143" s="2" t="str">
        <f t="shared" si="18"/>
        <v>Monthly</v>
      </c>
      <c r="F143" s="1" t="str">
        <f t="shared" si="14"/>
        <v>TNPHCI</v>
      </c>
      <c r="G143" s="2" t="str">
        <f t="shared" si="15"/>
        <v>FRED/TNPHCI</v>
      </c>
      <c r="I143" s="1" t="s">
        <v>81</v>
      </c>
      <c r="J143" s="2" t="str">
        <f t="shared" si="19"/>
        <v>PHCI</v>
      </c>
    </row>
    <row r="144" spans="1:10" x14ac:dyDescent="0.3">
      <c r="A144" s="2" t="str">
        <f t="shared" si="20"/>
        <v>Texas-Economic Activity Index</v>
      </c>
      <c r="B144" s="2" t="s">
        <v>84</v>
      </c>
      <c r="C144" s="2" t="str">
        <f t="shared" si="16"/>
        <v>Economic Activity Index</v>
      </c>
      <c r="D144" s="2" t="str">
        <f t="shared" si="17"/>
        <v>Coincident Economic Activity Index</v>
      </c>
      <c r="E144" s="2" t="str">
        <f t="shared" si="18"/>
        <v>Monthly</v>
      </c>
      <c r="F144" s="1" t="str">
        <f t="shared" si="14"/>
        <v>TXPHCI</v>
      </c>
      <c r="G144" s="2" t="str">
        <f t="shared" si="15"/>
        <v>FRED/TXPHCI</v>
      </c>
      <c r="I144" s="1" t="s">
        <v>83</v>
      </c>
      <c r="J144" s="2" t="str">
        <f t="shared" si="19"/>
        <v>PHCI</v>
      </c>
    </row>
    <row r="145" spans="1:10" x14ac:dyDescent="0.3">
      <c r="A145" s="2" t="str">
        <f t="shared" si="20"/>
        <v>Utah-Economic Activity Index</v>
      </c>
      <c r="B145" s="2" t="s">
        <v>86</v>
      </c>
      <c r="C145" s="2" t="str">
        <f t="shared" si="16"/>
        <v>Economic Activity Index</v>
      </c>
      <c r="D145" s="2" t="str">
        <f t="shared" si="17"/>
        <v>Coincident Economic Activity Index</v>
      </c>
      <c r="E145" s="2" t="str">
        <f t="shared" si="18"/>
        <v>Monthly</v>
      </c>
      <c r="F145" s="1" t="str">
        <f t="shared" si="14"/>
        <v>UTPHCI</v>
      </c>
      <c r="G145" s="2" t="str">
        <f t="shared" si="15"/>
        <v>FRED/UTPHCI</v>
      </c>
      <c r="I145" s="1" t="s">
        <v>85</v>
      </c>
      <c r="J145" s="2" t="str">
        <f t="shared" si="19"/>
        <v>PHCI</v>
      </c>
    </row>
    <row r="146" spans="1:10" x14ac:dyDescent="0.3">
      <c r="A146" s="2" t="str">
        <f t="shared" si="20"/>
        <v>Vermont-Economic Activity Index</v>
      </c>
      <c r="B146" s="2" t="s">
        <v>88</v>
      </c>
      <c r="C146" s="2" t="str">
        <f t="shared" si="16"/>
        <v>Economic Activity Index</v>
      </c>
      <c r="D146" s="2" t="str">
        <f t="shared" si="17"/>
        <v>Coincident Economic Activity Index</v>
      </c>
      <c r="E146" s="2" t="str">
        <f t="shared" si="18"/>
        <v>Monthly</v>
      </c>
      <c r="F146" s="1" t="str">
        <f t="shared" si="14"/>
        <v>VTPHCI</v>
      </c>
      <c r="G146" s="2" t="str">
        <f t="shared" si="15"/>
        <v>FRED/VTPHCI</v>
      </c>
      <c r="I146" s="1" t="s">
        <v>87</v>
      </c>
      <c r="J146" s="2" t="str">
        <f t="shared" si="19"/>
        <v>PHCI</v>
      </c>
    </row>
    <row r="147" spans="1:10" x14ac:dyDescent="0.3">
      <c r="A147" s="2" t="str">
        <f t="shared" si="20"/>
        <v>Virginia-Economic Activity Index</v>
      </c>
      <c r="B147" s="2" t="s">
        <v>90</v>
      </c>
      <c r="C147" s="2" t="str">
        <f t="shared" si="16"/>
        <v>Economic Activity Index</v>
      </c>
      <c r="D147" s="2" t="str">
        <f t="shared" si="17"/>
        <v>Coincident Economic Activity Index</v>
      </c>
      <c r="E147" s="2" t="str">
        <f t="shared" si="18"/>
        <v>Monthly</v>
      </c>
      <c r="F147" s="1" t="str">
        <f t="shared" si="14"/>
        <v>VAPHCI</v>
      </c>
      <c r="G147" s="2" t="str">
        <f t="shared" si="15"/>
        <v>FRED/VAPHCI</v>
      </c>
      <c r="I147" s="1" t="s">
        <v>89</v>
      </c>
      <c r="J147" s="2" t="str">
        <f t="shared" si="19"/>
        <v>PHCI</v>
      </c>
    </row>
    <row r="148" spans="1:10" x14ac:dyDescent="0.3">
      <c r="A148" s="2" t="str">
        <f t="shared" si="20"/>
        <v>Washington-Economic Activity Index</v>
      </c>
      <c r="B148" s="2" t="s">
        <v>92</v>
      </c>
      <c r="C148" s="2" t="str">
        <f t="shared" si="16"/>
        <v>Economic Activity Index</v>
      </c>
      <c r="D148" s="2" t="str">
        <f t="shared" si="17"/>
        <v>Coincident Economic Activity Index</v>
      </c>
      <c r="E148" s="2" t="str">
        <f t="shared" si="18"/>
        <v>Monthly</v>
      </c>
      <c r="F148" s="1" t="str">
        <f t="shared" si="14"/>
        <v>WAPHCI</v>
      </c>
      <c r="G148" s="2" t="str">
        <f t="shared" si="15"/>
        <v>FRED/WAPHCI</v>
      </c>
      <c r="I148" s="1" t="s">
        <v>91</v>
      </c>
      <c r="J148" s="2" t="str">
        <f t="shared" si="19"/>
        <v>PHCI</v>
      </c>
    </row>
    <row r="149" spans="1:10" x14ac:dyDescent="0.3">
      <c r="A149" s="2" t="str">
        <f t="shared" si="20"/>
        <v>West Virginia-Economic Activity Index</v>
      </c>
      <c r="B149" s="2" t="s">
        <v>94</v>
      </c>
      <c r="C149" s="2" t="str">
        <f t="shared" si="16"/>
        <v>Economic Activity Index</v>
      </c>
      <c r="D149" s="2" t="str">
        <f t="shared" si="17"/>
        <v>Coincident Economic Activity Index</v>
      </c>
      <c r="E149" s="2" t="str">
        <f t="shared" si="18"/>
        <v>Monthly</v>
      </c>
      <c r="F149" s="1" t="str">
        <f t="shared" si="14"/>
        <v>WVPHCI</v>
      </c>
      <c r="G149" s="2" t="str">
        <f t="shared" si="15"/>
        <v>FRED/WVPHCI</v>
      </c>
      <c r="I149" s="1" t="s">
        <v>93</v>
      </c>
      <c r="J149" s="2" t="str">
        <f t="shared" si="19"/>
        <v>PHCI</v>
      </c>
    </row>
    <row r="150" spans="1:10" x14ac:dyDescent="0.3">
      <c r="A150" s="2" t="str">
        <f t="shared" si="20"/>
        <v>Wisconsin-Economic Activity Index</v>
      </c>
      <c r="B150" s="2" t="s">
        <v>96</v>
      </c>
      <c r="C150" s="2" t="str">
        <f t="shared" si="16"/>
        <v>Economic Activity Index</v>
      </c>
      <c r="D150" s="2" t="str">
        <f t="shared" si="17"/>
        <v>Coincident Economic Activity Index</v>
      </c>
      <c r="E150" s="2" t="str">
        <f t="shared" si="18"/>
        <v>Monthly</v>
      </c>
      <c r="F150" s="1" t="str">
        <f t="shared" si="14"/>
        <v>WIPHCI</v>
      </c>
      <c r="G150" s="2" t="str">
        <f t="shared" si="15"/>
        <v>FRED/WIPHCI</v>
      </c>
      <c r="I150" s="1" t="s">
        <v>95</v>
      </c>
      <c r="J150" s="2" t="str">
        <f t="shared" si="19"/>
        <v>PHCI</v>
      </c>
    </row>
    <row r="151" spans="1:10" x14ac:dyDescent="0.3">
      <c r="A151" s="2" t="str">
        <f t="shared" si="20"/>
        <v>Wyoming-Economic Activity Index</v>
      </c>
      <c r="B151" s="2" t="s">
        <v>98</v>
      </c>
      <c r="C151" s="2" t="str">
        <f t="shared" si="16"/>
        <v>Economic Activity Index</v>
      </c>
      <c r="D151" s="2" t="str">
        <f t="shared" si="17"/>
        <v>Coincident Economic Activity Index</v>
      </c>
      <c r="E151" s="2" t="str">
        <f t="shared" si="18"/>
        <v>Monthly</v>
      </c>
      <c r="F151" s="1" t="str">
        <f t="shared" si="14"/>
        <v>WYPHCI</v>
      </c>
      <c r="G151" s="2" t="str">
        <f t="shared" si="15"/>
        <v>FRED/WYPHCI</v>
      </c>
      <c r="I151" s="1" t="s">
        <v>97</v>
      </c>
      <c r="J151" s="2" t="str">
        <f t="shared" si="19"/>
        <v>PHCI</v>
      </c>
    </row>
    <row r="152" spans="1:10" x14ac:dyDescent="0.3">
      <c r="A152" s="2" t="str">
        <f t="shared" si="20"/>
        <v>Alabama-Total Construction Employees</v>
      </c>
      <c r="B152" s="2" t="s">
        <v>1</v>
      </c>
      <c r="C152" s="4" t="s">
        <v>142</v>
      </c>
      <c r="D152" s="4" t="s">
        <v>108</v>
      </c>
      <c r="E152" s="4" t="s">
        <v>103</v>
      </c>
      <c r="F152" s="1" t="str">
        <f>I152&amp;J152</f>
        <v>ALCONS</v>
      </c>
      <c r="G152" s="2" t="str">
        <f>"FRED/"&amp;F152</f>
        <v>FRED/ALCONS</v>
      </c>
      <c r="I152" s="1" t="s">
        <v>0</v>
      </c>
      <c r="J152" s="4" t="s">
        <v>109</v>
      </c>
    </row>
    <row r="153" spans="1:10" x14ac:dyDescent="0.3">
      <c r="A153" s="2" t="str">
        <f t="shared" si="20"/>
        <v>Alaska-Total Construction Employees</v>
      </c>
      <c r="B153" s="2" t="s">
        <v>3</v>
      </c>
      <c r="C153" s="2" t="str">
        <f>C152</f>
        <v>Total Construction Employees</v>
      </c>
      <c r="D153" s="2" t="str">
        <f>D152</f>
        <v>All Employees: Construction</v>
      </c>
      <c r="E153" s="2" t="str">
        <f>E152</f>
        <v>Monthly</v>
      </c>
      <c r="F153" s="1" t="str">
        <f t="shared" ref="F153:F201" si="21">I153&amp;J153</f>
        <v>AKCONS</v>
      </c>
      <c r="G153" s="2" t="str">
        <f t="shared" si="15"/>
        <v>FRED/AKCONS</v>
      </c>
      <c r="I153" s="1" t="s">
        <v>2</v>
      </c>
      <c r="J153" s="2" t="str">
        <f>J152</f>
        <v>CONS</v>
      </c>
    </row>
    <row r="154" spans="1:10" x14ac:dyDescent="0.3">
      <c r="A154" s="2" t="str">
        <f t="shared" si="20"/>
        <v>Arizona-Total Construction Employees</v>
      </c>
      <c r="B154" s="2" t="s">
        <v>5</v>
      </c>
      <c r="C154" s="2" t="str">
        <f t="shared" ref="C154:C201" si="22">C153</f>
        <v>Total Construction Employees</v>
      </c>
      <c r="D154" s="2" t="str">
        <f t="shared" ref="D154:D201" si="23">D153</f>
        <v>All Employees: Construction</v>
      </c>
      <c r="E154" s="2" t="str">
        <f t="shared" ref="E154:E201" si="24">E153</f>
        <v>Monthly</v>
      </c>
      <c r="F154" s="1" t="str">
        <f t="shared" si="21"/>
        <v>AZCONS</v>
      </c>
      <c r="G154" s="2" t="str">
        <f t="shared" si="15"/>
        <v>FRED/AZCONS</v>
      </c>
      <c r="I154" s="1" t="s">
        <v>4</v>
      </c>
      <c r="J154" s="2" t="str">
        <f t="shared" ref="J154:J201" si="25">J153</f>
        <v>CONS</v>
      </c>
    </row>
    <row r="155" spans="1:10" x14ac:dyDescent="0.3">
      <c r="A155" s="2" t="str">
        <f t="shared" si="20"/>
        <v>Arkansas-Total Construction Employees</v>
      </c>
      <c r="B155" s="2" t="s">
        <v>7</v>
      </c>
      <c r="C155" s="2" t="str">
        <f t="shared" si="22"/>
        <v>Total Construction Employees</v>
      </c>
      <c r="D155" s="2" t="str">
        <f t="shared" si="23"/>
        <v>All Employees: Construction</v>
      </c>
      <c r="E155" s="2" t="str">
        <f t="shared" si="24"/>
        <v>Monthly</v>
      </c>
      <c r="F155" s="1" t="str">
        <f t="shared" si="21"/>
        <v>ARCONS</v>
      </c>
      <c r="G155" s="2" t="str">
        <f t="shared" si="15"/>
        <v>FRED/ARCONS</v>
      </c>
      <c r="I155" s="1" t="s">
        <v>6</v>
      </c>
      <c r="J155" s="2" t="str">
        <f t="shared" si="25"/>
        <v>CONS</v>
      </c>
    </row>
    <row r="156" spans="1:10" x14ac:dyDescent="0.3">
      <c r="A156" s="2" t="str">
        <f t="shared" si="20"/>
        <v>California-Total Construction Employees</v>
      </c>
      <c r="B156" s="2" t="s">
        <v>124</v>
      </c>
      <c r="C156" s="2" t="str">
        <f t="shared" si="22"/>
        <v>Total Construction Employees</v>
      </c>
      <c r="D156" s="2" t="str">
        <f t="shared" si="23"/>
        <v>All Employees: Construction</v>
      </c>
      <c r="E156" s="2" t="str">
        <f t="shared" si="24"/>
        <v>Monthly</v>
      </c>
      <c r="F156" s="1" t="str">
        <f t="shared" si="21"/>
        <v>CACONS</v>
      </c>
      <c r="G156" s="2" t="str">
        <f t="shared" si="15"/>
        <v>FRED/CACONS</v>
      </c>
      <c r="I156" s="1" t="s">
        <v>8</v>
      </c>
      <c r="J156" s="2" t="str">
        <f t="shared" si="25"/>
        <v>CONS</v>
      </c>
    </row>
    <row r="157" spans="1:10" x14ac:dyDescent="0.3">
      <c r="A157" s="2" t="str">
        <f t="shared" si="20"/>
        <v>Colorado-Total Construction Employees</v>
      </c>
      <c r="B157" s="2" t="s">
        <v>10</v>
      </c>
      <c r="C157" s="2" t="str">
        <f t="shared" si="22"/>
        <v>Total Construction Employees</v>
      </c>
      <c r="D157" s="2" t="str">
        <f t="shared" si="23"/>
        <v>All Employees: Construction</v>
      </c>
      <c r="E157" s="2" t="str">
        <f t="shared" si="24"/>
        <v>Monthly</v>
      </c>
      <c r="F157" s="1" t="str">
        <f t="shared" si="21"/>
        <v>COCONS</v>
      </c>
      <c r="G157" s="2" t="str">
        <f t="shared" si="15"/>
        <v>FRED/COCONS</v>
      </c>
      <c r="I157" s="1" t="s">
        <v>9</v>
      </c>
      <c r="J157" s="2" t="str">
        <f t="shared" si="25"/>
        <v>CONS</v>
      </c>
    </row>
    <row r="158" spans="1:10" x14ac:dyDescent="0.3">
      <c r="A158" s="2" t="str">
        <f t="shared" si="20"/>
        <v>Connecticut-Total Construction Employees</v>
      </c>
      <c r="B158" s="2" t="s">
        <v>12</v>
      </c>
      <c r="C158" s="2" t="str">
        <f t="shared" si="22"/>
        <v>Total Construction Employees</v>
      </c>
      <c r="D158" s="2" t="str">
        <f t="shared" si="23"/>
        <v>All Employees: Construction</v>
      </c>
      <c r="E158" s="2" t="str">
        <f t="shared" si="24"/>
        <v>Monthly</v>
      </c>
      <c r="F158" s="1" t="str">
        <f t="shared" si="21"/>
        <v>CTCONS</v>
      </c>
      <c r="G158" s="2" t="str">
        <f t="shared" si="15"/>
        <v>FRED/CTCONS</v>
      </c>
      <c r="I158" s="1" t="s">
        <v>11</v>
      </c>
      <c r="J158" s="2" t="str">
        <f t="shared" si="25"/>
        <v>CONS</v>
      </c>
    </row>
    <row r="159" spans="1:10" x14ac:dyDescent="0.3">
      <c r="A159" s="2" t="str">
        <f t="shared" si="20"/>
        <v>Delaware-Total Construction Employees</v>
      </c>
      <c r="B159" s="2" t="s">
        <v>14</v>
      </c>
      <c r="C159" s="2" t="str">
        <f t="shared" si="22"/>
        <v>Total Construction Employees</v>
      </c>
      <c r="D159" s="2" t="str">
        <f t="shared" si="23"/>
        <v>All Employees: Construction</v>
      </c>
      <c r="E159" s="2" t="str">
        <f t="shared" si="24"/>
        <v>Monthly</v>
      </c>
      <c r="F159" s="1" t="str">
        <f t="shared" si="21"/>
        <v>DECONS</v>
      </c>
      <c r="G159" s="2" t="str">
        <f t="shared" si="15"/>
        <v>FRED/DECONS</v>
      </c>
      <c r="I159" s="1" t="s">
        <v>13</v>
      </c>
      <c r="J159" s="2" t="str">
        <f t="shared" si="25"/>
        <v>CONS</v>
      </c>
    </row>
    <row r="160" spans="1:10" x14ac:dyDescent="0.3">
      <c r="A160" s="2" t="str">
        <f t="shared" si="20"/>
        <v>Florida-Total Construction Employees</v>
      </c>
      <c r="B160" s="2" t="s">
        <v>16</v>
      </c>
      <c r="C160" s="2" t="str">
        <f t="shared" si="22"/>
        <v>Total Construction Employees</v>
      </c>
      <c r="D160" s="2" t="str">
        <f t="shared" si="23"/>
        <v>All Employees: Construction</v>
      </c>
      <c r="E160" s="2" t="str">
        <f t="shared" si="24"/>
        <v>Monthly</v>
      </c>
      <c r="F160" s="1" t="str">
        <f t="shared" si="21"/>
        <v>FLCONS</v>
      </c>
      <c r="G160" s="2" t="str">
        <f t="shared" si="15"/>
        <v>FRED/FLCONS</v>
      </c>
      <c r="I160" s="1" t="s">
        <v>15</v>
      </c>
      <c r="J160" s="2" t="str">
        <f t="shared" si="25"/>
        <v>CONS</v>
      </c>
    </row>
    <row r="161" spans="1:10" x14ac:dyDescent="0.3">
      <c r="A161" s="2" t="str">
        <f t="shared" si="20"/>
        <v>Georgia-Total Construction Employees</v>
      </c>
      <c r="B161" s="2" t="s">
        <v>18</v>
      </c>
      <c r="C161" s="2" t="str">
        <f t="shared" si="22"/>
        <v>Total Construction Employees</v>
      </c>
      <c r="D161" s="2" t="str">
        <f t="shared" si="23"/>
        <v>All Employees: Construction</v>
      </c>
      <c r="E161" s="2" t="str">
        <f t="shared" si="24"/>
        <v>Monthly</v>
      </c>
      <c r="F161" s="1" t="str">
        <f t="shared" si="21"/>
        <v>GACONS</v>
      </c>
      <c r="G161" s="2" t="str">
        <f t="shared" si="15"/>
        <v>FRED/GACONS</v>
      </c>
      <c r="I161" s="1" t="s">
        <v>17</v>
      </c>
      <c r="J161" s="2" t="str">
        <f t="shared" si="25"/>
        <v>CONS</v>
      </c>
    </row>
    <row r="162" spans="1:10" x14ac:dyDescent="0.3">
      <c r="A162" s="2" t="str">
        <f t="shared" si="20"/>
        <v>Hawaii-Total Construction Employees</v>
      </c>
      <c r="B162" s="2" t="s">
        <v>20</v>
      </c>
      <c r="C162" s="2" t="str">
        <f t="shared" si="22"/>
        <v>Total Construction Employees</v>
      </c>
      <c r="D162" s="2" t="str">
        <f t="shared" si="23"/>
        <v>All Employees: Construction</v>
      </c>
      <c r="E162" s="2" t="str">
        <f t="shared" si="24"/>
        <v>Monthly</v>
      </c>
      <c r="F162" s="1" t="str">
        <f t="shared" si="21"/>
        <v>HICONS</v>
      </c>
      <c r="G162" s="2" t="str">
        <f t="shared" si="15"/>
        <v>FRED/HICONS</v>
      </c>
      <c r="I162" s="1" t="s">
        <v>19</v>
      </c>
      <c r="J162" s="2" t="str">
        <f t="shared" si="25"/>
        <v>CONS</v>
      </c>
    </row>
    <row r="163" spans="1:10" x14ac:dyDescent="0.3">
      <c r="A163" s="2" t="str">
        <f t="shared" si="20"/>
        <v>Idaho-Total Construction Employees</v>
      </c>
      <c r="B163" s="2" t="s">
        <v>22</v>
      </c>
      <c r="C163" s="2" t="str">
        <f t="shared" si="22"/>
        <v>Total Construction Employees</v>
      </c>
      <c r="D163" s="2" t="str">
        <f t="shared" si="23"/>
        <v>All Employees: Construction</v>
      </c>
      <c r="E163" s="2" t="str">
        <f t="shared" si="24"/>
        <v>Monthly</v>
      </c>
      <c r="F163" s="1" t="str">
        <f t="shared" si="21"/>
        <v>IDCONS</v>
      </c>
      <c r="G163" s="2" t="str">
        <f t="shared" si="15"/>
        <v>FRED/IDCONS</v>
      </c>
      <c r="I163" s="1" t="s">
        <v>21</v>
      </c>
      <c r="J163" s="2" t="str">
        <f t="shared" si="25"/>
        <v>CONS</v>
      </c>
    </row>
    <row r="164" spans="1:10" x14ac:dyDescent="0.3">
      <c r="A164" s="2" t="str">
        <f t="shared" si="20"/>
        <v>Illinois-Total Construction Employees</v>
      </c>
      <c r="B164" s="2" t="s">
        <v>24</v>
      </c>
      <c r="C164" s="2" t="str">
        <f t="shared" si="22"/>
        <v>Total Construction Employees</v>
      </c>
      <c r="D164" s="2" t="str">
        <f t="shared" si="23"/>
        <v>All Employees: Construction</v>
      </c>
      <c r="E164" s="2" t="str">
        <f t="shared" si="24"/>
        <v>Monthly</v>
      </c>
      <c r="F164" s="1" t="str">
        <f t="shared" si="21"/>
        <v>ILCONS</v>
      </c>
      <c r="G164" s="2" t="str">
        <f t="shared" si="15"/>
        <v>FRED/ILCONS</v>
      </c>
      <c r="I164" s="1" t="s">
        <v>23</v>
      </c>
      <c r="J164" s="2" t="str">
        <f t="shared" si="25"/>
        <v>CONS</v>
      </c>
    </row>
    <row r="165" spans="1:10" x14ac:dyDescent="0.3">
      <c r="A165" s="2" t="str">
        <f t="shared" si="20"/>
        <v>Indiana-Total Construction Employees</v>
      </c>
      <c r="B165" s="2" t="s">
        <v>26</v>
      </c>
      <c r="C165" s="2" t="str">
        <f t="shared" si="22"/>
        <v>Total Construction Employees</v>
      </c>
      <c r="D165" s="2" t="str">
        <f t="shared" si="23"/>
        <v>All Employees: Construction</v>
      </c>
      <c r="E165" s="2" t="str">
        <f t="shared" si="24"/>
        <v>Monthly</v>
      </c>
      <c r="F165" s="1" t="str">
        <f t="shared" si="21"/>
        <v>INCONS</v>
      </c>
      <c r="G165" s="2" t="str">
        <f t="shared" si="15"/>
        <v>FRED/INCONS</v>
      </c>
      <c r="I165" s="1" t="s">
        <v>25</v>
      </c>
      <c r="J165" s="2" t="str">
        <f t="shared" si="25"/>
        <v>CONS</v>
      </c>
    </row>
    <row r="166" spans="1:10" x14ac:dyDescent="0.3">
      <c r="A166" s="2" t="str">
        <f t="shared" si="20"/>
        <v>Iowa-Total Construction Employees</v>
      </c>
      <c r="B166" s="2" t="s">
        <v>28</v>
      </c>
      <c r="C166" s="2" t="str">
        <f t="shared" si="22"/>
        <v>Total Construction Employees</v>
      </c>
      <c r="D166" s="2" t="str">
        <f t="shared" si="23"/>
        <v>All Employees: Construction</v>
      </c>
      <c r="E166" s="2" t="str">
        <f t="shared" si="24"/>
        <v>Monthly</v>
      </c>
      <c r="F166" s="1" t="str">
        <f t="shared" si="21"/>
        <v>IACONS</v>
      </c>
      <c r="G166" s="2" t="str">
        <f t="shared" si="15"/>
        <v>FRED/IACONS</v>
      </c>
      <c r="I166" s="1" t="s">
        <v>27</v>
      </c>
      <c r="J166" s="2" t="str">
        <f t="shared" si="25"/>
        <v>CONS</v>
      </c>
    </row>
    <row r="167" spans="1:10" x14ac:dyDescent="0.3">
      <c r="A167" s="2" t="str">
        <f t="shared" si="20"/>
        <v>Kansas-Total Construction Employees</v>
      </c>
      <c r="B167" s="2" t="s">
        <v>30</v>
      </c>
      <c r="C167" s="2" t="str">
        <f t="shared" si="22"/>
        <v>Total Construction Employees</v>
      </c>
      <c r="D167" s="2" t="str">
        <f t="shared" si="23"/>
        <v>All Employees: Construction</v>
      </c>
      <c r="E167" s="2" t="str">
        <f t="shared" si="24"/>
        <v>Monthly</v>
      </c>
      <c r="F167" s="1" t="str">
        <f t="shared" si="21"/>
        <v>KSCONS</v>
      </c>
      <c r="G167" s="2" t="str">
        <f t="shared" ref="G167:G201" si="26">"FRED/"&amp;F167</f>
        <v>FRED/KSCONS</v>
      </c>
      <c r="I167" s="1" t="s">
        <v>29</v>
      </c>
      <c r="J167" s="2" t="str">
        <f t="shared" si="25"/>
        <v>CONS</v>
      </c>
    </row>
    <row r="168" spans="1:10" x14ac:dyDescent="0.3">
      <c r="A168" s="2" t="str">
        <f t="shared" si="20"/>
        <v>Kentucky-Total Construction Employees</v>
      </c>
      <c r="B168" s="2" t="s">
        <v>32</v>
      </c>
      <c r="C168" s="2" t="str">
        <f t="shared" si="22"/>
        <v>Total Construction Employees</v>
      </c>
      <c r="D168" s="2" t="str">
        <f t="shared" si="23"/>
        <v>All Employees: Construction</v>
      </c>
      <c r="E168" s="2" t="str">
        <f t="shared" si="24"/>
        <v>Monthly</v>
      </c>
      <c r="F168" s="1" t="str">
        <f t="shared" si="21"/>
        <v>KYCONS</v>
      </c>
      <c r="G168" s="2" t="str">
        <f t="shared" si="26"/>
        <v>FRED/KYCONS</v>
      </c>
      <c r="I168" s="1" t="s">
        <v>31</v>
      </c>
      <c r="J168" s="2" t="str">
        <f t="shared" si="25"/>
        <v>CONS</v>
      </c>
    </row>
    <row r="169" spans="1:10" x14ac:dyDescent="0.3">
      <c r="A169" s="2" t="str">
        <f t="shared" si="20"/>
        <v>Louisiana-Total Construction Employees</v>
      </c>
      <c r="B169" s="2" t="s">
        <v>34</v>
      </c>
      <c r="C169" s="2" t="str">
        <f t="shared" si="22"/>
        <v>Total Construction Employees</v>
      </c>
      <c r="D169" s="2" t="str">
        <f t="shared" si="23"/>
        <v>All Employees: Construction</v>
      </c>
      <c r="E169" s="2" t="str">
        <f t="shared" si="24"/>
        <v>Monthly</v>
      </c>
      <c r="F169" s="1" t="str">
        <f t="shared" si="21"/>
        <v>LACONS</v>
      </c>
      <c r="G169" s="2" t="str">
        <f t="shared" si="26"/>
        <v>FRED/LACONS</v>
      </c>
      <c r="I169" s="1" t="s">
        <v>33</v>
      </c>
      <c r="J169" s="2" t="str">
        <f t="shared" si="25"/>
        <v>CONS</v>
      </c>
    </row>
    <row r="170" spans="1:10" x14ac:dyDescent="0.3">
      <c r="A170" s="2" t="str">
        <f t="shared" si="20"/>
        <v>Maine-Total Construction Employees</v>
      </c>
      <c r="B170" s="2" t="s">
        <v>36</v>
      </c>
      <c r="C170" s="2" t="str">
        <f t="shared" si="22"/>
        <v>Total Construction Employees</v>
      </c>
      <c r="D170" s="2" t="str">
        <f t="shared" si="23"/>
        <v>All Employees: Construction</v>
      </c>
      <c r="E170" s="2" t="str">
        <f t="shared" si="24"/>
        <v>Monthly</v>
      </c>
      <c r="F170" s="1" t="str">
        <f t="shared" si="21"/>
        <v>MECONS</v>
      </c>
      <c r="G170" s="2" t="str">
        <f t="shared" si="26"/>
        <v>FRED/MECONS</v>
      </c>
      <c r="I170" s="1" t="s">
        <v>35</v>
      </c>
      <c r="J170" s="2" t="str">
        <f t="shared" si="25"/>
        <v>CONS</v>
      </c>
    </row>
    <row r="171" spans="1:10" x14ac:dyDescent="0.3">
      <c r="A171" s="2" t="str">
        <f t="shared" si="20"/>
        <v>Maryland-Total Construction Employees</v>
      </c>
      <c r="B171" s="2" t="s">
        <v>38</v>
      </c>
      <c r="C171" s="2" t="str">
        <f t="shared" si="22"/>
        <v>Total Construction Employees</v>
      </c>
      <c r="D171" s="2" t="str">
        <f t="shared" si="23"/>
        <v>All Employees: Construction</v>
      </c>
      <c r="E171" s="2" t="str">
        <f t="shared" si="24"/>
        <v>Monthly</v>
      </c>
      <c r="F171" s="1" t="str">
        <f t="shared" si="21"/>
        <v>MDCONS</v>
      </c>
      <c r="G171" s="2" t="str">
        <f t="shared" si="26"/>
        <v>FRED/MDCONS</v>
      </c>
      <c r="I171" s="1" t="s">
        <v>37</v>
      </c>
      <c r="J171" s="2" t="str">
        <f t="shared" si="25"/>
        <v>CONS</v>
      </c>
    </row>
    <row r="172" spans="1:10" x14ac:dyDescent="0.3">
      <c r="A172" s="2" t="str">
        <f t="shared" si="20"/>
        <v>Massachusetts-Total Construction Employees</v>
      </c>
      <c r="B172" s="2" t="s">
        <v>40</v>
      </c>
      <c r="C172" s="2" t="str">
        <f t="shared" si="22"/>
        <v>Total Construction Employees</v>
      </c>
      <c r="D172" s="2" t="str">
        <f t="shared" si="23"/>
        <v>All Employees: Construction</v>
      </c>
      <c r="E172" s="2" t="str">
        <f t="shared" si="24"/>
        <v>Monthly</v>
      </c>
      <c r="F172" s="1" t="str">
        <f t="shared" si="21"/>
        <v>MACONS</v>
      </c>
      <c r="G172" s="2" t="str">
        <f t="shared" si="26"/>
        <v>FRED/MACONS</v>
      </c>
      <c r="I172" s="1" t="s">
        <v>39</v>
      </c>
      <c r="J172" s="2" t="str">
        <f t="shared" si="25"/>
        <v>CONS</v>
      </c>
    </row>
    <row r="173" spans="1:10" x14ac:dyDescent="0.3">
      <c r="A173" s="2" t="str">
        <f t="shared" si="20"/>
        <v>Michigan-Total Construction Employees</v>
      </c>
      <c r="B173" s="2" t="s">
        <v>42</v>
      </c>
      <c r="C173" s="2" t="str">
        <f t="shared" si="22"/>
        <v>Total Construction Employees</v>
      </c>
      <c r="D173" s="2" t="str">
        <f t="shared" si="23"/>
        <v>All Employees: Construction</v>
      </c>
      <c r="E173" s="2" t="str">
        <f t="shared" si="24"/>
        <v>Monthly</v>
      </c>
      <c r="F173" s="1" t="str">
        <f t="shared" si="21"/>
        <v>MICONS</v>
      </c>
      <c r="G173" s="2" t="str">
        <f t="shared" si="26"/>
        <v>FRED/MICONS</v>
      </c>
      <c r="I173" s="1" t="s">
        <v>41</v>
      </c>
      <c r="J173" s="2" t="str">
        <f t="shared" si="25"/>
        <v>CONS</v>
      </c>
    </row>
    <row r="174" spans="1:10" x14ac:dyDescent="0.3">
      <c r="A174" s="2" t="str">
        <f t="shared" si="20"/>
        <v>Minnesota-Total Construction Employees</v>
      </c>
      <c r="B174" s="2" t="s">
        <v>44</v>
      </c>
      <c r="C174" s="2" t="str">
        <f t="shared" si="22"/>
        <v>Total Construction Employees</v>
      </c>
      <c r="D174" s="2" t="str">
        <f t="shared" si="23"/>
        <v>All Employees: Construction</v>
      </c>
      <c r="E174" s="2" t="str">
        <f t="shared" si="24"/>
        <v>Monthly</v>
      </c>
      <c r="F174" s="1" t="str">
        <f t="shared" si="21"/>
        <v>MNCONS</v>
      </c>
      <c r="G174" s="2" t="str">
        <f t="shared" si="26"/>
        <v>FRED/MNCONS</v>
      </c>
      <c r="I174" s="1" t="s">
        <v>43</v>
      </c>
      <c r="J174" s="2" t="str">
        <f t="shared" si="25"/>
        <v>CONS</v>
      </c>
    </row>
    <row r="175" spans="1:10" x14ac:dyDescent="0.3">
      <c r="A175" s="2" t="str">
        <f t="shared" si="20"/>
        <v>Mississippi-Total Construction Employees</v>
      </c>
      <c r="B175" s="2" t="s">
        <v>46</v>
      </c>
      <c r="C175" s="2" t="str">
        <f t="shared" si="22"/>
        <v>Total Construction Employees</v>
      </c>
      <c r="D175" s="2" t="str">
        <f t="shared" si="23"/>
        <v>All Employees: Construction</v>
      </c>
      <c r="E175" s="2" t="str">
        <f t="shared" si="24"/>
        <v>Monthly</v>
      </c>
      <c r="F175" s="1" t="str">
        <f t="shared" si="21"/>
        <v>MSCONS</v>
      </c>
      <c r="G175" s="2" t="str">
        <f t="shared" si="26"/>
        <v>FRED/MSCONS</v>
      </c>
      <c r="I175" s="1" t="s">
        <v>45</v>
      </c>
      <c r="J175" s="2" t="str">
        <f t="shared" si="25"/>
        <v>CONS</v>
      </c>
    </row>
    <row r="176" spans="1:10" x14ac:dyDescent="0.3">
      <c r="A176" s="2" t="str">
        <f t="shared" si="20"/>
        <v>Missouri-Total Construction Employees</v>
      </c>
      <c r="B176" s="2" t="s">
        <v>48</v>
      </c>
      <c r="C176" s="2" t="str">
        <f t="shared" si="22"/>
        <v>Total Construction Employees</v>
      </c>
      <c r="D176" s="2" t="str">
        <f t="shared" si="23"/>
        <v>All Employees: Construction</v>
      </c>
      <c r="E176" s="2" t="str">
        <f t="shared" si="24"/>
        <v>Monthly</v>
      </c>
      <c r="F176" s="1" t="str">
        <f t="shared" si="21"/>
        <v>MOCONS</v>
      </c>
      <c r="G176" s="2" t="str">
        <f t="shared" si="26"/>
        <v>FRED/MOCONS</v>
      </c>
      <c r="I176" s="1" t="s">
        <v>47</v>
      </c>
      <c r="J176" s="2" t="str">
        <f t="shared" si="25"/>
        <v>CONS</v>
      </c>
    </row>
    <row r="177" spans="1:10" x14ac:dyDescent="0.3">
      <c r="A177" s="2" t="str">
        <f t="shared" si="20"/>
        <v>Montana-Total Construction Employees</v>
      </c>
      <c r="B177" s="2" t="s">
        <v>50</v>
      </c>
      <c r="C177" s="2" t="str">
        <f t="shared" si="22"/>
        <v>Total Construction Employees</v>
      </c>
      <c r="D177" s="2" t="str">
        <f t="shared" si="23"/>
        <v>All Employees: Construction</v>
      </c>
      <c r="E177" s="2" t="str">
        <f t="shared" si="24"/>
        <v>Monthly</v>
      </c>
      <c r="F177" s="1" t="str">
        <f t="shared" si="21"/>
        <v>MTCONS</v>
      </c>
      <c r="G177" s="2" t="str">
        <f t="shared" si="26"/>
        <v>FRED/MTCONS</v>
      </c>
      <c r="I177" s="1" t="s">
        <v>49</v>
      </c>
      <c r="J177" s="2" t="str">
        <f t="shared" si="25"/>
        <v>CONS</v>
      </c>
    </row>
    <row r="178" spans="1:10" x14ac:dyDescent="0.3">
      <c r="A178" s="2" t="str">
        <f t="shared" si="20"/>
        <v>Nebraska-Total Construction Employees</v>
      </c>
      <c r="B178" s="2" t="s">
        <v>52</v>
      </c>
      <c r="C178" s="2" t="str">
        <f t="shared" si="22"/>
        <v>Total Construction Employees</v>
      </c>
      <c r="D178" s="2" t="str">
        <f t="shared" si="23"/>
        <v>All Employees: Construction</v>
      </c>
      <c r="E178" s="2" t="str">
        <f t="shared" si="24"/>
        <v>Monthly</v>
      </c>
      <c r="F178" s="1" t="str">
        <f t="shared" si="21"/>
        <v>NECONS</v>
      </c>
      <c r="G178" s="2" t="str">
        <f t="shared" si="26"/>
        <v>FRED/NECONS</v>
      </c>
      <c r="I178" s="1" t="s">
        <v>51</v>
      </c>
      <c r="J178" s="2" t="str">
        <f t="shared" si="25"/>
        <v>CONS</v>
      </c>
    </row>
    <row r="179" spans="1:10" x14ac:dyDescent="0.3">
      <c r="A179" s="2" t="str">
        <f t="shared" si="20"/>
        <v>Nevada-Total Construction Employees</v>
      </c>
      <c r="B179" s="2" t="s">
        <v>54</v>
      </c>
      <c r="C179" s="2" t="str">
        <f t="shared" si="22"/>
        <v>Total Construction Employees</v>
      </c>
      <c r="D179" s="2" t="str">
        <f t="shared" si="23"/>
        <v>All Employees: Construction</v>
      </c>
      <c r="E179" s="2" t="str">
        <f t="shared" si="24"/>
        <v>Monthly</v>
      </c>
      <c r="F179" s="1" t="str">
        <f t="shared" si="21"/>
        <v>NVCONS</v>
      </c>
      <c r="G179" s="2" t="str">
        <f t="shared" si="26"/>
        <v>FRED/NVCONS</v>
      </c>
      <c r="I179" s="1" t="s">
        <v>53</v>
      </c>
      <c r="J179" s="2" t="str">
        <f t="shared" si="25"/>
        <v>CONS</v>
      </c>
    </row>
    <row r="180" spans="1:10" x14ac:dyDescent="0.3">
      <c r="A180" s="2" t="str">
        <f t="shared" si="20"/>
        <v>New Hampshire-Total Construction Employees</v>
      </c>
      <c r="B180" s="2" t="s">
        <v>56</v>
      </c>
      <c r="C180" s="2" t="str">
        <f t="shared" si="22"/>
        <v>Total Construction Employees</v>
      </c>
      <c r="D180" s="2" t="str">
        <f t="shared" si="23"/>
        <v>All Employees: Construction</v>
      </c>
      <c r="E180" s="2" t="str">
        <f t="shared" si="24"/>
        <v>Monthly</v>
      </c>
      <c r="F180" s="1" t="str">
        <f t="shared" si="21"/>
        <v>NHCONS</v>
      </c>
      <c r="G180" s="2" t="str">
        <f t="shared" si="26"/>
        <v>FRED/NHCONS</v>
      </c>
      <c r="I180" s="1" t="s">
        <v>55</v>
      </c>
      <c r="J180" s="2" t="str">
        <f t="shared" si="25"/>
        <v>CONS</v>
      </c>
    </row>
    <row r="181" spans="1:10" x14ac:dyDescent="0.3">
      <c r="A181" s="2" t="str">
        <f t="shared" si="20"/>
        <v>New Jersey-Total Construction Employees</v>
      </c>
      <c r="B181" s="2" t="s">
        <v>58</v>
      </c>
      <c r="C181" s="2" t="str">
        <f t="shared" si="22"/>
        <v>Total Construction Employees</v>
      </c>
      <c r="D181" s="2" t="str">
        <f t="shared" si="23"/>
        <v>All Employees: Construction</v>
      </c>
      <c r="E181" s="2" t="str">
        <f t="shared" si="24"/>
        <v>Monthly</v>
      </c>
      <c r="F181" s="1" t="str">
        <f t="shared" si="21"/>
        <v>NJCONS</v>
      </c>
      <c r="G181" s="2" t="str">
        <f t="shared" si="26"/>
        <v>FRED/NJCONS</v>
      </c>
      <c r="I181" s="1" t="s">
        <v>57</v>
      </c>
      <c r="J181" s="2" t="str">
        <f t="shared" si="25"/>
        <v>CONS</v>
      </c>
    </row>
    <row r="182" spans="1:10" x14ac:dyDescent="0.3">
      <c r="A182" s="2" t="str">
        <f t="shared" si="20"/>
        <v>New Mexico-Total Construction Employees</v>
      </c>
      <c r="B182" s="2" t="s">
        <v>60</v>
      </c>
      <c r="C182" s="2" t="str">
        <f t="shared" si="22"/>
        <v>Total Construction Employees</v>
      </c>
      <c r="D182" s="2" t="str">
        <f t="shared" si="23"/>
        <v>All Employees: Construction</v>
      </c>
      <c r="E182" s="2" t="str">
        <f t="shared" si="24"/>
        <v>Monthly</v>
      </c>
      <c r="F182" s="1" t="str">
        <f t="shared" si="21"/>
        <v>NMCONS</v>
      </c>
      <c r="G182" s="2" t="str">
        <f t="shared" si="26"/>
        <v>FRED/NMCONS</v>
      </c>
      <c r="I182" s="1" t="s">
        <v>59</v>
      </c>
      <c r="J182" s="2" t="str">
        <f t="shared" si="25"/>
        <v>CONS</v>
      </c>
    </row>
    <row r="183" spans="1:10" x14ac:dyDescent="0.3">
      <c r="A183" s="2" t="str">
        <f t="shared" si="20"/>
        <v>New York-Total Construction Employees</v>
      </c>
      <c r="B183" s="2" t="s">
        <v>62</v>
      </c>
      <c r="C183" s="2" t="str">
        <f t="shared" si="22"/>
        <v>Total Construction Employees</v>
      </c>
      <c r="D183" s="2" t="str">
        <f t="shared" si="23"/>
        <v>All Employees: Construction</v>
      </c>
      <c r="E183" s="2" t="str">
        <f t="shared" si="24"/>
        <v>Monthly</v>
      </c>
      <c r="F183" s="1" t="str">
        <f t="shared" si="21"/>
        <v>NYCONS</v>
      </c>
      <c r="G183" s="2" t="str">
        <f t="shared" si="26"/>
        <v>FRED/NYCONS</v>
      </c>
      <c r="I183" s="1" t="s">
        <v>61</v>
      </c>
      <c r="J183" s="2" t="str">
        <f t="shared" si="25"/>
        <v>CONS</v>
      </c>
    </row>
    <row r="184" spans="1:10" x14ac:dyDescent="0.3">
      <c r="A184" s="2" t="str">
        <f t="shared" si="20"/>
        <v>North Carolina-Total Construction Employees</v>
      </c>
      <c r="B184" s="2" t="s">
        <v>64</v>
      </c>
      <c r="C184" s="2" t="str">
        <f t="shared" si="22"/>
        <v>Total Construction Employees</v>
      </c>
      <c r="D184" s="2" t="str">
        <f t="shared" si="23"/>
        <v>All Employees: Construction</v>
      </c>
      <c r="E184" s="2" t="str">
        <f t="shared" si="24"/>
        <v>Monthly</v>
      </c>
      <c r="F184" s="1" t="str">
        <f t="shared" si="21"/>
        <v>NCCONS</v>
      </c>
      <c r="G184" s="2" t="str">
        <f t="shared" si="26"/>
        <v>FRED/NCCONS</v>
      </c>
      <c r="I184" s="1" t="s">
        <v>63</v>
      </c>
      <c r="J184" s="2" t="str">
        <f t="shared" si="25"/>
        <v>CONS</v>
      </c>
    </row>
    <row r="185" spans="1:10" x14ac:dyDescent="0.3">
      <c r="A185" s="2" t="str">
        <f t="shared" si="20"/>
        <v>North Dakota-Total Construction Employees</v>
      </c>
      <c r="B185" s="2" t="s">
        <v>66</v>
      </c>
      <c r="C185" s="2" t="str">
        <f t="shared" si="22"/>
        <v>Total Construction Employees</v>
      </c>
      <c r="D185" s="2" t="str">
        <f t="shared" si="23"/>
        <v>All Employees: Construction</v>
      </c>
      <c r="E185" s="2" t="str">
        <f t="shared" si="24"/>
        <v>Monthly</v>
      </c>
      <c r="F185" s="1" t="str">
        <f t="shared" si="21"/>
        <v>NDCONS</v>
      </c>
      <c r="G185" s="2" t="str">
        <f t="shared" si="26"/>
        <v>FRED/NDCONS</v>
      </c>
      <c r="I185" s="1" t="s">
        <v>65</v>
      </c>
      <c r="J185" s="2" t="str">
        <f t="shared" si="25"/>
        <v>CONS</v>
      </c>
    </row>
    <row r="186" spans="1:10" x14ac:dyDescent="0.3">
      <c r="A186" s="2" t="str">
        <f t="shared" si="20"/>
        <v>Ohio-Total Construction Employees</v>
      </c>
      <c r="B186" s="2" t="s">
        <v>68</v>
      </c>
      <c r="C186" s="2" t="str">
        <f t="shared" si="22"/>
        <v>Total Construction Employees</v>
      </c>
      <c r="D186" s="2" t="str">
        <f t="shared" si="23"/>
        <v>All Employees: Construction</v>
      </c>
      <c r="E186" s="2" t="str">
        <f t="shared" si="24"/>
        <v>Monthly</v>
      </c>
      <c r="F186" s="1" t="str">
        <f t="shared" si="21"/>
        <v>OHCONS</v>
      </c>
      <c r="G186" s="2" t="str">
        <f t="shared" si="26"/>
        <v>FRED/OHCONS</v>
      </c>
      <c r="I186" s="1" t="s">
        <v>67</v>
      </c>
      <c r="J186" s="2" t="str">
        <f t="shared" si="25"/>
        <v>CONS</v>
      </c>
    </row>
    <row r="187" spans="1:10" x14ac:dyDescent="0.3">
      <c r="A187" s="2" t="str">
        <f t="shared" si="20"/>
        <v>Oklahoma-Total Construction Employees</v>
      </c>
      <c r="B187" s="2" t="s">
        <v>70</v>
      </c>
      <c r="C187" s="2" t="str">
        <f t="shared" si="22"/>
        <v>Total Construction Employees</v>
      </c>
      <c r="D187" s="2" t="str">
        <f t="shared" si="23"/>
        <v>All Employees: Construction</v>
      </c>
      <c r="E187" s="2" t="str">
        <f t="shared" si="24"/>
        <v>Monthly</v>
      </c>
      <c r="F187" s="1" t="str">
        <f t="shared" si="21"/>
        <v>OKCONS</v>
      </c>
      <c r="G187" s="2" t="str">
        <f t="shared" si="26"/>
        <v>FRED/OKCONS</v>
      </c>
      <c r="I187" s="1" t="s">
        <v>69</v>
      </c>
      <c r="J187" s="2" t="str">
        <f t="shared" si="25"/>
        <v>CONS</v>
      </c>
    </row>
    <row r="188" spans="1:10" x14ac:dyDescent="0.3">
      <c r="A188" s="2" t="str">
        <f t="shared" si="20"/>
        <v>Oregon-Total Construction Employees</v>
      </c>
      <c r="B188" s="2" t="s">
        <v>72</v>
      </c>
      <c r="C188" s="2" t="str">
        <f t="shared" si="22"/>
        <v>Total Construction Employees</v>
      </c>
      <c r="D188" s="2" t="str">
        <f t="shared" si="23"/>
        <v>All Employees: Construction</v>
      </c>
      <c r="E188" s="2" t="str">
        <f t="shared" si="24"/>
        <v>Monthly</v>
      </c>
      <c r="F188" s="1" t="str">
        <f t="shared" si="21"/>
        <v>ORCONS</v>
      </c>
      <c r="G188" s="2" t="str">
        <f t="shared" si="26"/>
        <v>FRED/ORCONS</v>
      </c>
      <c r="I188" s="1" t="s">
        <v>71</v>
      </c>
      <c r="J188" s="2" t="str">
        <f t="shared" si="25"/>
        <v>CONS</v>
      </c>
    </row>
    <row r="189" spans="1:10" x14ac:dyDescent="0.3">
      <c r="A189" s="2" t="str">
        <f t="shared" si="20"/>
        <v>Pennsylvania-Total Construction Employees</v>
      </c>
      <c r="B189" s="2" t="s">
        <v>74</v>
      </c>
      <c r="C189" s="2" t="str">
        <f t="shared" si="22"/>
        <v>Total Construction Employees</v>
      </c>
      <c r="D189" s="2" t="str">
        <f t="shared" si="23"/>
        <v>All Employees: Construction</v>
      </c>
      <c r="E189" s="2" t="str">
        <f t="shared" si="24"/>
        <v>Monthly</v>
      </c>
      <c r="F189" s="1" t="str">
        <f t="shared" si="21"/>
        <v>PACONS</v>
      </c>
      <c r="G189" s="2" t="str">
        <f t="shared" si="26"/>
        <v>FRED/PACONS</v>
      </c>
      <c r="I189" s="1" t="s">
        <v>73</v>
      </c>
      <c r="J189" s="2" t="str">
        <f t="shared" si="25"/>
        <v>CONS</v>
      </c>
    </row>
    <row r="190" spans="1:10" x14ac:dyDescent="0.3">
      <c r="A190" s="2" t="str">
        <f t="shared" si="20"/>
        <v>Rhode Island-Total Construction Employees</v>
      </c>
      <c r="B190" s="2" t="s">
        <v>76</v>
      </c>
      <c r="C190" s="2" t="str">
        <f t="shared" si="22"/>
        <v>Total Construction Employees</v>
      </c>
      <c r="D190" s="2" t="str">
        <f t="shared" si="23"/>
        <v>All Employees: Construction</v>
      </c>
      <c r="E190" s="2" t="str">
        <f t="shared" si="24"/>
        <v>Monthly</v>
      </c>
      <c r="F190" s="1" t="str">
        <f t="shared" si="21"/>
        <v>RICONS</v>
      </c>
      <c r="G190" s="2" t="str">
        <f t="shared" si="26"/>
        <v>FRED/RICONS</v>
      </c>
      <c r="I190" s="1" t="s">
        <v>75</v>
      </c>
      <c r="J190" s="2" t="str">
        <f t="shared" si="25"/>
        <v>CONS</v>
      </c>
    </row>
    <row r="191" spans="1:10" x14ac:dyDescent="0.3">
      <c r="A191" s="2" t="str">
        <f t="shared" si="20"/>
        <v>South Carolina-Total Construction Employees</v>
      </c>
      <c r="B191" s="2" t="s">
        <v>78</v>
      </c>
      <c r="C191" s="2" t="str">
        <f t="shared" si="22"/>
        <v>Total Construction Employees</v>
      </c>
      <c r="D191" s="2" t="str">
        <f t="shared" si="23"/>
        <v>All Employees: Construction</v>
      </c>
      <c r="E191" s="2" t="str">
        <f t="shared" si="24"/>
        <v>Monthly</v>
      </c>
      <c r="F191" s="1" t="str">
        <f t="shared" si="21"/>
        <v>SCCONS</v>
      </c>
      <c r="G191" s="2" t="str">
        <f t="shared" si="26"/>
        <v>FRED/SCCONS</v>
      </c>
      <c r="I191" s="1" t="s">
        <v>77</v>
      </c>
      <c r="J191" s="2" t="str">
        <f t="shared" si="25"/>
        <v>CONS</v>
      </c>
    </row>
    <row r="192" spans="1:10" x14ac:dyDescent="0.3">
      <c r="A192" s="2" t="str">
        <f t="shared" si="20"/>
        <v>South Dakota-Total Construction Employees</v>
      </c>
      <c r="B192" s="2" t="s">
        <v>80</v>
      </c>
      <c r="C192" s="2" t="str">
        <f t="shared" si="22"/>
        <v>Total Construction Employees</v>
      </c>
      <c r="D192" s="2" t="str">
        <f t="shared" si="23"/>
        <v>All Employees: Construction</v>
      </c>
      <c r="E192" s="2" t="str">
        <f t="shared" si="24"/>
        <v>Monthly</v>
      </c>
      <c r="F192" s="1" t="str">
        <f t="shared" si="21"/>
        <v>SDCONS</v>
      </c>
      <c r="G192" s="2" t="str">
        <f t="shared" si="26"/>
        <v>FRED/SDCONS</v>
      </c>
      <c r="I192" s="1" t="s">
        <v>79</v>
      </c>
      <c r="J192" s="2" t="str">
        <f t="shared" si="25"/>
        <v>CONS</v>
      </c>
    </row>
    <row r="193" spans="1:10" x14ac:dyDescent="0.3">
      <c r="A193" s="2" t="str">
        <f t="shared" si="20"/>
        <v>Tennessee-Total Construction Employees</v>
      </c>
      <c r="B193" s="2" t="s">
        <v>82</v>
      </c>
      <c r="C193" s="2" t="str">
        <f t="shared" si="22"/>
        <v>Total Construction Employees</v>
      </c>
      <c r="D193" s="2" t="str">
        <f t="shared" si="23"/>
        <v>All Employees: Construction</v>
      </c>
      <c r="E193" s="2" t="str">
        <f t="shared" si="24"/>
        <v>Monthly</v>
      </c>
      <c r="F193" s="1" t="str">
        <f t="shared" si="21"/>
        <v>TNCONS</v>
      </c>
      <c r="G193" s="2" t="str">
        <f t="shared" si="26"/>
        <v>FRED/TNCONS</v>
      </c>
      <c r="I193" s="1" t="s">
        <v>81</v>
      </c>
      <c r="J193" s="2" t="str">
        <f t="shared" si="25"/>
        <v>CONS</v>
      </c>
    </row>
    <row r="194" spans="1:10" x14ac:dyDescent="0.3">
      <c r="A194" s="2" t="str">
        <f t="shared" si="20"/>
        <v>Texas-Total Construction Employees</v>
      </c>
      <c r="B194" s="2" t="s">
        <v>84</v>
      </c>
      <c r="C194" s="2" t="str">
        <f t="shared" si="22"/>
        <v>Total Construction Employees</v>
      </c>
      <c r="D194" s="2" t="str">
        <f t="shared" si="23"/>
        <v>All Employees: Construction</v>
      </c>
      <c r="E194" s="2" t="str">
        <f t="shared" si="24"/>
        <v>Monthly</v>
      </c>
      <c r="F194" s="1" t="str">
        <f t="shared" si="21"/>
        <v>TXCONS</v>
      </c>
      <c r="G194" s="2" t="str">
        <f t="shared" si="26"/>
        <v>FRED/TXCONS</v>
      </c>
      <c r="I194" s="1" t="s">
        <v>83</v>
      </c>
      <c r="J194" s="2" t="str">
        <f t="shared" si="25"/>
        <v>CONS</v>
      </c>
    </row>
    <row r="195" spans="1:10" x14ac:dyDescent="0.3">
      <c r="A195" s="2" t="str">
        <f t="shared" ref="A195:A258" si="27">B195&amp;"-"&amp;C195</f>
        <v>Utah-Total Construction Employees</v>
      </c>
      <c r="B195" s="2" t="s">
        <v>86</v>
      </c>
      <c r="C195" s="2" t="str">
        <f t="shared" si="22"/>
        <v>Total Construction Employees</v>
      </c>
      <c r="D195" s="2" t="str">
        <f t="shared" si="23"/>
        <v>All Employees: Construction</v>
      </c>
      <c r="E195" s="2" t="str">
        <f t="shared" si="24"/>
        <v>Monthly</v>
      </c>
      <c r="F195" s="1" t="str">
        <f t="shared" si="21"/>
        <v>UTCONS</v>
      </c>
      <c r="G195" s="2" t="str">
        <f t="shared" si="26"/>
        <v>FRED/UTCONS</v>
      </c>
      <c r="I195" s="1" t="s">
        <v>85</v>
      </c>
      <c r="J195" s="2" t="str">
        <f t="shared" si="25"/>
        <v>CONS</v>
      </c>
    </row>
    <row r="196" spans="1:10" x14ac:dyDescent="0.3">
      <c r="A196" s="2" t="str">
        <f t="shared" si="27"/>
        <v>Vermont-Total Construction Employees</v>
      </c>
      <c r="B196" s="2" t="s">
        <v>88</v>
      </c>
      <c r="C196" s="2" t="str">
        <f t="shared" si="22"/>
        <v>Total Construction Employees</v>
      </c>
      <c r="D196" s="2" t="str">
        <f t="shared" si="23"/>
        <v>All Employees: Construction</v>
      </c>
      <c r="E196" s="2" t="str">
        <f t="shared" si="24"/>
        <v>Monthly</v>
      </c>
      <c r="F196" s="1" t="str">
        <f t="shared" si="21"/>
        <v>VTCONS</v>
      </c>
      <c r="G196" s="2" t="str">
        <f t="shared" si="26"/>
        <v>FRED/VTCONS</v>
      </c>
      <c r="I196" s="1" t="s">
        <v>87</v>
      </c>
      <c r="J196" s="2" t="str">
        <f t="shared" si="25"/>
        <v>CONS</v>
      </c>
    </row>
    <row r="197" spans="1:10" x14ac:dyDescent="0.3">
      <c r="A197" s="2" t="str">
        <f t="shared" si="27"/>
        <v>Virginia-Total Construction Employees</v>
      </c>
      <c r="B197" s="2" t="s">
        <v>90</v>
      </c>
      <c r="C197" s="2" t="str">
        <f t="shared" si="22"/>
        <v>Total Construction Employees</v>
      </c>
      <c r="D197" s="2" t="str">
        <f t="shared" si="23"/>
        <v>All Employees: Construction</v>
      </c>
      <c r="E197" s="2" t="str">
        <f t="shared" si="24"/>
        <v>Monthly</v>
      </c>
      <c r="F197" s="1" t="str">
        <f t="shared" si="21"/>
        <v>VACONS</v>
      </c>
      <c r="G197" s="2" t="str">
        <f t="shared" si="26"/>
        <v>FRED/VACONS</v>
      </c>
      <c r="I197" s="1" t="s">
        <v>89</v>
      </c>
      <c r="J197" s="2" t="str">
        <f t="shared" si="25"/>
        <v>CONS</v>
      </c>
    </row>
    <row r="198" spans="1:10" x14ac:dyDescent="0.3">
      <c r="A198" s="2" t="str">
        <f t="shared" si="27"/>
        <v>Washington-Total Construction Employees</v>
      </c>
      <c r="B198" s="2" t="s">
        <v>92</v>
      </c>
      <c r="C198" s="2" t="str">
        <f t="shared" si="22"/>
        <v>Total Construction Employees</v>
      </c>
      <c r="D198" s="2" t="str">
        <f t="shared" si="23"/>
        <v>All Employees: Construction</v>
      </c>
      <c r="E198" s="2" t="str">
        <f t="shared" si="24"/>
        <v>Monthly</v>
      </c>
      <c r="F198" s="1" t="str">
        <f t="shared" si="21"/>
        <v>WACONS</v>
      </c>
      <c r="G198" s="2" t="str">
        <f t="shared" si="26"/>
        <v>FRED/WACONS</v>
      </c>
      <c r="I198" s="1" t="s">
        <v>91</v>
      </c>
      <c r="J198" s="2" t="str">
        <f t="shared" si="25"/>
        <v>CONS</v>
      </c>
    </row>
    <row r="199" spans="1:10" x14ac:dyDescent="0.3">
      <c r="A199" s="2" t="str">
        <f t="shared" si="27"/>
        <v>West Virginia-Total Construction Employees</v>
      </c>
      <c r="B199" s="2" t="s">
        <v>94</v>
      </c>
      <c r="C199" s="2" t="str">
        <f t="shared" si="22"/>
        <v>Total Construction Employees</v>
      </c>
      <c r="D199" s="2" t="str">
        <f t="shared" si="23"/>
        <v>All Employees: Construction</v>
      </c>
      <c r="E199" s="2" t="str">
        <f t="shared" si="24"/>
        <v>Monthly</v>
      </c>
      <c r="F199" s="1" t="str">
        <f t="shared" si="21"/>
        <v>WVCONS</v>
      </c>
      <c r="G199" s="2" t="str">
        <f t="shared" si="26"/>
        <v>FRED/WVCONS</v>
      </c>
      <c r="I199" s="1" t="s">
        <v>93</v>
      </c>
      <c r="J199" s="2" t="str">
        <f t="shared" si="25"/>
        <v>CONS</v>
      </c>
    </row>
    <row r="200" spans="1:10" x14ac:dyDescent="0.3">
      <c r="A200" s="2" t="str">
        <f t="shared" si="27"/>
        <v>Wisconsin-Total Construction Employees</v>
      </c>
      <c r="B200" s="2" t="s">
        <v>96</v>
      </c>
      <c r="C200" s="2" t="str">
        <f t="shared" si="22"/>
        <v>Total Construction Employees</v>
      </c>
      <c r="D200" s="2" t="str">
        <f t="shared" si="23"/>
        <v>All Employees: Construction</v>
      </c>
      <c r="E200" s="2" t="str">
        <f t="shared" si="24"/>
        <v>Monthly</v>
      </c>
      <c r="F200" s="1" t="str">
        <f t="shared" si="21"/>
        <v>WICONS</v>
      </c>
      <c r="G200" s="2" t="str">
        <f t="shared" si="26"/>
        <v>FRED/WICONS</v>
      </c>
      <c r="I200" s="1" t="s">
        <v>95</v>
      </c>
      <c r="J200" s="2" t="str">
        <f t="shared" si="25"/>
        <v>CONS</v>
      </c>
    </row>
    <row r="201" spans="1:10" x14ac:dyDescent="0.3">
      <c r="A201" s="2" t="str">
        <f t="shared" si="27"/>
        <v>Wyoming-Total Construction Employees</v>
      </c>
      <c r="B201" s="2" t="s">
        <v>98</v>
      </c>
      <c r="C201" s="2" t="str">
        <f t="shared" si="22"/>
        <v>Total Construction Employees</v>
      </c>
      <c r="D201" s="2" t="str">
        <f t="shared" si="23"/>
        <v>All Employees: Construction</v>
      </c>
      <c r="E201" s="2" t="str">
        <f t="shared" si="24"/>
        <v>Monthly</v>
      </c>
      <c r="F201" s="1" t="str">
        <f t="shared" si="21"/>
        <v>WYCONS</v>
      </c>
      <c r="G201" s="2" t="str">
        <f t="shared" si="26"/>
        <v>FRED/WYCONS</v>
      </c>
      <c r="I201" s="1" t="s">
        <v>97</v>
      </c>
      <c r="J201" s="2" t="str">
        <f t="shared" si="25"/>
        <v>CONS</v>
      </c>
    </row>
    <row r="202" spans="1:10" x14ac:dyDescent="0.3">
      <c r="A202" s="2" t="str">
        <f t="shared" si="27"/>
        <v>Alabama-Unemployment Rate</v>
      </c>
      <c r="B202" s="2" t="s">
        <v>1</v>
      </c>
      <c r="C202" s="4" t="s">
        <v>111</v>
      </c>
      <c r="D202" s="4" t="s">
        <v>111</v>
      </c>
      <c r="E202" s="4" t="s">
        <v>103</v>
      </c>
      <c r="F202" s="1" t="str">
        <f>I202&amp;J202</f>
        <v>ALUR</v>
      </c>
      <c r="G202" s="2" t="str">
        <f>"FRED/"&amp;F202</f>
        <v>FRED/ALUR</v>
      </c>
      <c r="H202" s="2" t="s">
        <v>949</v>
      </c>
      <c r="I202" s="1" t="s">
        <v>0</v>
      </c>
      <c r="J202" s="4" t="s">
        <v>110</v>
      </c>
    </row>
    <row r="203" spans="1:10" x14ac:dyDescent="0.3">
      <c r="A203" s="2" t="str">
        <f t="shared" si="27"/>
        <v>Alaska-Unemployment Rate</v>
      </c>
      <c r="B203" s="2" t="s">
        <v>3</v>
      </c>
      <c r="C203" s="2" t="str">
        <f>C202</f>
        <v>Unemployment Rate</v>
      </c>
      <c r="D203" s="2" t="str">
        <f>D202</f>
        <v>Unemployment Rate</v>
      </c>
      <c r="E203" s="2" t="str">
        <f>E202</f>
        <v>Monthly</v>
      </c>
      <c r="F203" s="1" t="str">
        <f t="shared" ref="F203:F251" si="28">I203&amp;J203</f>
        <v>AKUR</v>
      </c>
      <c r="G203" s="2" t="str">
        <f t="shared" ref="G203:G266" si="29">"FRED/"&amp;F203</f>
        <v>FRED/AKUR</v>
      </c>
      <c r="H203" s="2" t="s">
        <v>950</v>
      </c>
      <c r="I203" s="1" t="s">
        <v>2</v>
      </c>
      <c r="J203" s="2" t="str">
        <f>J202</f>
        <v>UR</v>
      </c>
    </row>
    <row r="204" spans="1:10" x14ac:dyDescent="0.3">
      <c r="A204" s="2" t="str">
        <f t="shared" si="27"/>
        <v>Arizona-Unemployment Rate</v>
      </c>
      <c r="B204" s="2" t="s">
        <v>5</v>
      </c>
      <c r="C204" s="2" t="str">
        <f t="shared" ref="C204:C251" si="30">C203</f>
        <v>Unemployment Rate</v>
      </c>
      <c r="D204" s="2" t="str">
        <f t="shared" ref="D204:D251" si="31">D203</f>
        <v>Unemployment Rate</v>
      </c>
      <c r="E204" s="2" t="str">
        <f t="shared" ref="E204:E251" si="32">E203</f>
        <v>Monthly</v>
      </c>
      <c r="F204" s="1" t="str">
        <f t="shared" si="28"/>
        <v>AZUR</v>
      </c>
      <c r="G204" s="2" t="str">
        <f t="shared" si="29"/>
        <v>FRED/AZUR</v>
      </c>
      <c r="H204" s="2" t="s">
        <v>951</v>
      </c>
      <c r="I204" s="1" t="s">
        <v>4</v>
      </c>
      <c r="J204" s="2" t="str">
        <f t="shared" ref="J204:J251" si="33">J203</f>
        <v>UR</v>
      </c>
    </row>
    <row r="205" spans="1:10" x14ac:dyDescent="0.3">
      <c r="A205" s="2" t="str">
        <f t="shared" si="27"/>
        <v>Arkansas-Unemployment Rate</v>
      </c>
      <c r="B205" s="2" t="s">
        <v>7</v>
      </c>
      <c r="C205" s="2" t="str">
        <f t="shared" si="30"/>
        <v>Unemployment Rate</v>
      </c>
      <c r="D205" s="2" t="str">
        <f t="shared" si="31"/>
        <v>Unemployment Rate</v>
      </c>
      <c r="E205" s="2" t="str">
        <f t="shared" si="32"/>
        <v>Monthly</v>
      </c>
      <c r="F205" s="1" t="str">
        <f t="shared" si="28"/>
        <v>ARUR</v>
      </c>
      <c r="G205" s="2" t="str">
        <f t="shared" si="29"/>
        <v>FRED/ARUR</v>
      </c>
      <c r="H205" s="2" t="s">
        <v>952</v>
      </c>
      <c r="I205" s="1" t="s">
        <v>6</v>
      </c>
      <c r="J205" s="2" t="str">
        <f t="shared" si="33"/>
        <v>UR</v>
      </c>
    </row>
    <row r="206" spans="1:10" x14ac:dyDescent="0.3">
      <c r="A206" s="2" t="str">
        <f t="shared" si="27"/>
        <v>California-Unemployment Rate</v>
      </c>
      <c r="B206" s="2" t="s">
        <v>124</v>
      </c>
      <c r="C206" s="2" t="str">
        <f t="shared" si="30"/>
        <v>Unemployment Rate</v>
      </c>
      <c r="D206" s="2" t="str">
        <f t="shared" si="31"/>
        <v>Unemployment Rate</v>
      </c>
      <c r="E206" s="2" t="str">
        <f t="shared" si="32"/>
        <v>Monthly</v>
      </c>
      <c r="F206" s="1" t="str">
        <f t="shared" si="28"/>
        <v>CAUR</v>
      </c>
      <c r="G206" s="2" t="str">
        <f t="shared" si="29"/>
        <v>FRED/CAUR</v>
      </c>
      <c r="H206" s="2" t="s">
        <v>953</v>
      </c>
      <c r="I206" s="1" t="s">
        <v>8</v>
      </c>
      <c r="J206" s="2" t="str">
        <f t="shared" si="33"/>
        <v>UR</v>
      </c>
    </row>
    <row r="207" spans="1:10" x14ac:dyDescent="0.3">
      <c r="A207" s="2" t="str">
        <f t="shared" si="27"/>
        <v>Colorado-Unemployment Rate</v>
      </c>
      <c r="B207" s="2" t="s">
        <v>10</v>
      </c>
      <c r="C207" s="2" t="str">
        <f t="shared" si="30"/>
        <v>Unemployment Rate</v>
      </c>
      <c r="D207" s="2" t="str">
        <f t="shared" si="31"/>
        <v>Unemployment Rate</v>
      </c>
      <c r="E207" s="2" t="str">
        <f t="shared" si="32"/>
        <v>Monthly</v>
      </c>
      <c r="F207" s="1" t="str">
        <f t="shared" si="28"/>
        <v>COUR</v>
      </c>
      <c r="G207" s="2" t="str">
        <f t="shared" si="29"/>
        <v>FRED/COUR</v>
      </c>
      <c r="H207" s="2" t="s">
        <v>954</v>
      </c>
      <c r="I207" s="1" t="s">
        <v>9</v>
      </c>
      <c r="J207" s="2" t="str">
        <f t="shared" si="33"/>
        <v>UR</v>
      </c>
    </row>
    <row r="208" spans="1:10" x14ac:dyDescent="0.3">
      <c r="A208" s="2" t="str">
        <f t="shared" si="27"/>
        <v>Connecticut-Unemployment Rate</v>
      </c>
      <c r="B208" s="2" t="s">
        <v>12</v>
      </c>
      <c r="C208" s="2" t="str">
        <f t="shared" si="30"/>
        <v>Unemployment Rate</v>
      </c>
      <c r="D208" s="2" t="str">
        <f t="shared" si="31"/>
        <v>Unemployment Rate</v>
      </c>
      <c r="E208" s="2" t="str">
        <f t="shared" si="32"/>
        <v>Monthly</v>
      </c>
      <c r="F208" s="1" t="str">
        <f t="shared" si="28"/>
        <v>CTUR</v>
      </c>
      <c r="G208" s="2" t="str">
        <f t="shared" si="29"/>
        <v>FRED/CTUR</v>
      </c>
      <c r="H208" s="2" t="s">
        <v>955</v>
      </c>
      <c r="I208" s="1" t="s">
        <v>11</v>
      </c>
      <c r="J208" s="2" t="str">
        <f t="shared" si="33"/>
        <v>UR</v>
      </c>
    </row>
    <row r="209" spans="1:10" x14ac:dyDescent="0.3">
      <c r="A209" s="2" t="str">
        <f t="shared" si="27"/>
        <v>Delaware-Unemployment Rate</v>
      </c>
      <c r="B209" s="2" t="s">
        <v>14</v>
      </c>
      <c r="C209" s="2" t="str">
        <f t="shared" si="30"/>
        <v>Unemployment Rate</v>
      </c>
      <c r="D209" s="2" t="str">
        <f t="shared" si="31"/>
        <v>Unemployment Rate</v>
      </c>
      <c r="E209" s="2" t="str">
        <f t="shared" si="32"/>
        <v>Monthly</v>
      </c>
      <c r="F209" s="1" t="str">
        <f t="shared" si="28"/>
        <v>DEUR</v>
      </c>
      <c r="G209" s="2" t="str">
        <f t="shared" si="29"/>
        <v>FRED/DEUR</v>
      </c>
      <c r="H209" s="2" t="s">
        <v>956</v>
      </c>
      <c r="I209" s="1" t="s">
        <v>13</v>
      </c>
      <c r="J209" s="2" t="str">
        <f t="shared" si="33"/>
        <v>UR</v>
      </c>
    </row>
    <row r="210" spans="1:10" x14ac:dyDescent="0.3">
      <c r="A210" s="2" t="str">
        <f t="shared" si="27"/>
        <v>Florida-Unemployment Rate</v>
      </c>
      <c r="B210" s="2" t="s">
        <v>16</v>
      </c>
      <c r="C210" s="2" t="str">
        <f t="shared" si="30"/>
        <v>Unemployment Rate</v>
      </c>
      <c r="D210" s="2" t="str">
        <f t="shared" si="31"/>
        <v>Unemployment Rate</v>
      </c>
      <c r="E210" s="2" t="str">
        <f t="shared" si="32"/>
        <v>Monthly</v>
      </c>
      <c r="F210" s="1" t="str">
        <f t="shared" si="28"/>
        <v>FLUR</v>
      </c>
      <c r="G210" s="2" t="str">
        <f t="shared" si="29"/>
        <v>FRED/FLUR</v>
      </c>
      <c r="H210" s="2" t="s">
        <v>957</v>
      </c>
      <c r="I210" s="1" t="s">
        <v>15</v>
      </c>
      <c r="J210" s="2" t="str">
        <f t="shared" si="33"/>
        <v>UR</v>
      </c>
    </row>
    <row r="211" spans="1:10" x14ac:dyDescent="0.3">
      <c r="A211" s="2" t="str">
        <f t="shared" si="27"/>
        <v>Georgia-Unemployment Rate</v>
      </c>
      <c r="B211" s="2" t="s">
        <v>18</v>
      </c>
      <c r="C211" s="2" t="str">
        <f t="shared" si="30"/>
        <v>Unemployment Rate</v>
      </c>
      <c r="D211" s="2" t="str">
        <f t="shared" si="31"/>
        <v>Unemployment Rate</v>
      </c>
      <c r="E211" s="2" t="str">
        <f t="shared" si="32"/>
        <v>Monthly</v>
      </c>
      <c r="F211" s="1" t="str">
        <f t="shared" si="28"/>
        <v>GAUR</v>
      </c>
      <c r="G211" s="2" t="str">
        <f t="shared" si="29"/>
        <v>FRED/GAUR</v>
      </c>
      <c r="H211" s="2" t="s">
        <v>958</v>
      </c>
      <c r="I211" s="1" t="s">
        <v>17</v>
      </c>
      <c r="J211" s="2" t="str">
        <f t="shared" si="33"/>
        <v>UR</v>
      </c>
    </row>
    <row r="212" spans="1:10" x14ac:dyDescent="0.3">
      <c r="A212" s="2" t="str">
        <f t="shared" si="27"/>
        <v>Hawaii-Unemployment Rate</v>
      </c>
      <c r="B212" s="2" t="s">
        <v>20</v>
      </c>
      <c r="C212" s="2" t="str">
        <f t="shared" si="30"/>
        <v>Unemployment Rate</v>
      </c>
      <c r="D212" s="2" t="str">
        <f t="shared" si="31"/>
        <v>Unemployment Rate</v>
      </c>
      <c r="E212" s="2" t="str">
        <f t="shared" si="32"/>
        <v>Monthly</v>
      </c>
      <c r="F212" s="1" t="str">
        <f t="shared" si="28"/>
        <v>HIUR</v>
      </c>
      <c r="G212" s="2" t="str">
        <f t="shared" si="29"/>
        <v>FRED/HIUR</v>
      </c>
      <c r="H212" s="2" t="s">
        <v>959</v>
      </c>
      <c r="I212" s="1" t="s">
        <v>19</v>
      </c>
      <c r="J212" s="2" t="str">
        <f t="shared" si="33"/>
        <v>UR</v>
      </c>
    </row>
    <row r="213" spans="1:10" x14ac:dyDescent="0.3">
      <c r="A213" s="2" t="str">
        <f t="shared" si="27"/>
        <v>Idaho-Unemployment Rate</v>
      </c>
      <c r="B213" s="2" t="s">
        <v>22</v>
      </c>
      <c r="C213" s="2" t="str">
        <f t="shared" si="30"/>
        <v>Unemployment Rate</v>
      </c>
      <c r="D213" s="2" t="str">
        <f t="shared" si="31"/>
        <v>Unemployment Rate</v>
      </c>
      <c r="E213" s="2" t="str">
        <f t="shared" si="32"/>
        <v>Monthly</v>
      </c>
      <c r="F213" s="1" t="str">
        <f t="shared" si="28"/>
        <v>IDUR</v>
      </c>
      <c r="G213" s="2" t="str">
        <f t="shared" si="29"/>
        <v>FRED/IDUR</v>
      </c>
      <c r="H213" s="2" t="s">
        <v>960</v>
      </c>
      <c r="I213" s="1" t="s">
        <v>21</v>
      </c>
      <c r="J213" s="2" t="str">
        <f t="shared" si="33"/>
        <v>UR</v>
      </c>
    </row>
    <row r="214" spans="1:10" x14ac:dyDescent="0.3">
      <c r="A214" s="2" t="str">
        <f t="shared" si="27"/>
        <v>Illinois-Unemployment Rate</v>
      </c>
      <c r="B214" s="2" t="s">
        <v>24</v>
      </c>
      <c r="C214" s="2" t="str">
        <f t="shared" si="30"/>
        <v>Unemployment Rate</v>
      </c>
      <c r="D214" s="2" t="str">
        <f t="shared" si="31"/>
        <v>Unemployment Rate</v>
      </c>
      <c r="E214" s="2" t="str">
        <f t="shared" si="32"/>
        <v>Monthly</v>
      </c>
      <c r="F214" s="1" t="str">
        <f t="shared" si="28"/>
        <v>ILUR</v>
      </c>
      <c r="G214" s="2" t="str">
        <f t="shared" si="29"/>
        <v>FRED/ILUR</v>
      </c>
      <c r="H214" s="2" t="s">
        <v>961</v>
      </c>
      <c r="I214" s="1" t="s">
        <v>23</v>
      </c>
      <c r="J214" s="2" t="str">
        <f t="shared" si="33"/>
        <v>UR</v>
      </c>
    </row>
    <row r="215" spans="1:10" x14ac:dyDescent="0.3">
      <c r="A215" s="2" t="str">
        <f t="shared" si="27"/>
        <v>Indiana-Unemployment Rate</v>
      </c>
      <c r="B215" s="2" t="s">
        <v>26</v>
      </c>
      <c r="C215" s="2" t="str">
        <f t="shared" si="30"/>
        <v>Unemployment Rate</v>
      </c>
      <c r="D215" s="2" t="str">
        <f t="shared" si="31"/>
        <v>Unemployment Rate</v>
      </c>
      <c r="E215" s="2" t="str">
        <f t="shared" si="32"/>
        <v>Monthly</v>
      </c>
      <c r="F215" s="1" t="str">
        <f t="shared" si="28"/>
        <v>INUR</v>
      </c>
      <c r="G215" s="2" t="str">
        <f t="shared" si="29"/>
        <v>FRED/INUR</v>
      </c>
      <c r="H215" s="2" t="s">
        <v>962</v>
      </c>
      <c r="I215" s="1" t="s">
        <v>25</v>
      </c>
      <c r="J215" s="2" t="str">
        <f t="shared" si="33"/>
        <v>UR</v>
      </c>
    </row>
    <row r="216" spans="1:10" x14ac:dyDescent="0.3">
      <c r="A216" s="2" t="str">
        <f t="shared" si="27"/>
        <v>Iowa-Unemployment Rate</v>
      </c>
      <c r="B216" s="2" t="s">
        <v>28</v>
      </c>
      <c r="C216" s="2" t="str">
        <f t="shared" si="30"/>
        <v>Unemployment Rate</v>
      </c>
      <c r="D216" s="2" t="str">
        <f t="shared" si="31"/>
        <v>Unemployment Rate</v>
      </c>
      <c r="E216" s="2" t="str">
        <f t="shared" si="32"/>
        <v>Monthly</v>
      </c>
      <c r="F216" s="1" t="str">
        <f t="shared" si="28"/>
        <v>IAUR</v>
      </c>
      <c r="G216" s="2" t="str">
        <f t="shared" si="29"/>
        <v>FRED/IAUR</v>
      </c>
      <c r="H216" s="2" t="s">
        <v>963</v>
      </c>
      <c r="I216" s="1" t="s">
        <v>27</v>
      </c>
      <c r="J216" s="2" t="str">
        <f t="shared" si="33"/>
        <v>UR</v>
      </c>
    </row>
    <row r="217" spans="1:10" x14ac:dyDescent="0.3">
      <c r="A217" s="2" t="str">
        <f t="shared" si="27"/>
        <v>Kansas-Unemployment Rate</v>
      </c>
      <c r="B217" s="2" t="s">
        <v>30</v>
      </c>
      <c r="C217" s="2" t="str">
        <f t="shared" si="30"/>
        <v>Unemployment Rate</v>
      </c>
      <c r="D217" s="2" t="str">
        <f t="shared" si="31"/>
        <v>Unemployment Rate</v>
      </c>
      <c r="E217" s="2" t="str">
        <f t="shared" si="32"/>
        <v>Monthly</v>
      </c>
      <c r="F217" s="1" t="str">
        <f t="shared" si="28"/>
        <v>KSUR</v>
      </c>
      <c r="G217" s="2" t="str">
        <f t="shared" si="29"/>
        <v>FRED/KSUR</v>
      </c>
      <c r="H217" s="2" t="s">
        <v>964</v>
      </c>
      <c r="I217" s="1" t="s">
        <v>29</v>
      </c>
      <c r="J217" s="2" t="str">
        <f t="shared" si="33"/>
        <v>UR</v>
      </c>
    </row>
    <row r="218" spans="1:10" x14ac:dyDescent="0.3">
      <c r="A218" s="2" t="str">
        <f t="shared" si="27"/>
        <v>Kentucky-Unemployment Rate</v>
      </c>
      <c r="B218" s="2" t="s">
        <v>32</v>
      </c>
      <c r="C218" s="2" t="str">
        <f t="shared" si="30"/>
        <v>Unemployment Rate</v>
      </c>
      <c r="D218" s="2" t="str">
        <f t="shared" si="31"/>
        <v>Unemployment Rate</v>
      </c>
      <c r="E218" s="2" t="str">
        <f t="shared" si="32"/>
        <v>Monthly</v>
      </c>
      <c r="F218" s="1" t="str">
        <f t="shared" si="28"/>
        <v>KYUR</v>
      </c>
      <c r="G218" s="2" t="str">
        <f t="shared" si="29"/>
        <v>FRED/KYUR</v>
      </c>
      <c r="H218" s="2" t="s">
        <v>965</v>
      </c>
      <c r="I218" s="1" t="s">
        <v>31</v>
      </c>
      <c r="J218" s="2" t="str">
        <f t="shared" si="33"/>
        <v>UR</v>
      </c>
    </row>
    <row r="219" spans="1:10" x14ac:dyDescent="0.3">
      <c r="A219" s="2" t="str">
        <f t="shared" si="27"/>
        <v>Louisiana-Unemployment Rate</v>
      </c>
      <c r="B219" s="2" t="s">
        <v>34</v>
      </c>
      <c r="C219" s="2" t="str">
        <f t="shared" si="30"/>
        <v>Unemployment Rate</v>
      </c>
      <c r="D219" s="2" t="str">
        <f t="shared" si="31"/>
        <v>Unemployment Rate</v>
      </c>
      <c r="E219" s="2" t="str">
        <f t="shared" si="32"/>
        <v>Monthly</v>
      </c>
      <c r="F219" s="1" t="str">
        <f t="shared" si="28"/>
        <v>LAUR</v>
      </c>
      <c r="G219" s="2" t="str">
        <f t="shared" si="29"/>
        <v>FRED/LAUR</v>
      </c>
      <c r="H219" s="2" t="s">
        <v>966</v>
      </c>
      <c r="I219" s="1" t="s">
        <v>33</v>
      </c>
      <c r="J219" s="2" t="str">
        <f t="shared" si="33"/>
        <v>UR</v>
      </c>
    </row>
    <row r="220" spans="1:10" x14ac:dyDescent="0.3">
      <c r="A220" s="2" t="str">
        <f t="shared" si="27"/>
        <v>Maine-Unemployment Rate</v>
      </c>
      <c r="B220" s="2" t="s">
        <v>36</v>
      </c>
      <c r="C220" s="2" t="str">
        <f t="shared" si="30"/>
        <v>Unemployment Rate</v>
      </c>
      <c r="D220" s="2" t="str">
        <f t="shared" si="31"/>
        <v>Unemployment Rate</v>
      </c>
      <c r="E220" s="2" t="str">
        <f t="shared" si="32"/>
        <v>Monthly</v>
      </c>
      <c r="F220" s="1" t="str">
        <f t="shared" si="28"/>
        <v>MEUR</v>
      </c>
      <c r="G220" s="2" t="str">
        <f t="shared" si="29"/>
        <v>FRED/MEUR</v>
      </c>
      <c r="H220" s="2" t="s">
        <v>967</v>
      </c>
      <c r="I220" s="1" t="s">
        <v>35</v>
      </c>
      <c r="J220" s="2" t="str">
        <f t="shared" si="33"/>
        <v>UR</v>
      </c>
    </row>
    <row r="221" spans="1:10" x14ac:dyDescent="0.3">
      <c r="A221" s="2" t="str">
        <f t="shared" si="27"/>
        <v>Maryland-Unemployment Rate</v>
      </c>
      <c r="B221" s="2" t="s">
        <v>38</v>
      </c>
      <c r="C221" s="2" t="str">
        <f t="shared" si="30"/>
        <v>Unemployment Rate</v>
      </c>
      <c r="D221" s="2" t="str">
        <f t="shared" si="31"/>
        <v>Unemployment Rate</v>
      </c>
      <c r="E221" s="2" t="str">
        <f t="shared" si="32"/>
        <v>Monthly</v>
      </c>
      <c r="F221" s="1" t="str">
        <f t="shared" si="28"/>
        <v>MDUR</v>
      </c>
      <c r="G221" s="2" t="str">
        <f t="shared" si="29"/>
        <v>FRED/MDUR</v>
      </c>
      <c r="H221" s="2" t="s">
        <v>968</v>
      </c>
      <c r="I221" s="1" t="s">
        <v>37</v>
      </c>
      <c r="J221" s="2" t="str">
        <f t="shared" si="33"/>
        <v>UR</v>
      </c>
    </row>
    <row r="222" spans="1:10" x14ac:dyDescent="0.3">
      <c r="A222" s="2" t="str">
        <f t="shared" si="27"/>
        <v>Massachusetts-Unemployment Rate</v>
      </c>
      <c r="B222" s="2" t="s">
        <v>40</v>
      </c>
      <c r="C222" s="2" t="str">
        <f t="shared" si="30"/>
        <v>Unemployment Rate</v>
      </c>
      <c r="D222" s="2" t="str">
        <f t="shared" si="31"/>
        <v>Unemployment Rate</v>
      </c>
      <c r="E222" s="2" t="str">
        <f t="shared" si="32"/>
        <v>Monthly</v>
      </c>
      <c r="F222" s="1" t="str">
        <f t="shared" si="28"/>
        <v>MAUR</v>
      </c>
      <c r="G222" s="2" t="str">
        <f t="shared" si="29"/>
        <v>FRED/MAUR</v>
      </c>
      <c r="H222" s="2" t="s">
        <v>969</v>
      </c>
      <c r="I222" s="1" t="s">
        <v>39</v>
      </c>
      <c r="J222" s="2" t="str">
        <f t="shared" si="33"/>
        <v>UR</v>
      </c>
    </row>
    <row r="223" spans="1:10" x14ac:dyDescent="0.3">
      <c r="A223" s="2" t="str">
        <f t="shared" si="27"/>
        <v>Michigan-Unemployment Rate</v>
      </c>
      <c r="B223" s="2" t="s">
        <v>42</v>
      </c>
      <c r="C223" s="2" t="str">
        <f t="shared" si="30"/>
        <v>Unemployment Rate</v>
      </c>
      <c r="D223" s="2" t="str">
        <f t="shared" si="31"/>
        <v>Unemployment Rate</v>
      </c>
      <c r="E223" s="2" t="str">
        <f t="shared" si="32"/>
        <v>Monthly</v>
      </c>
      <c r="F223" s="1" t="str">
        <f t="shared" si="28"/>
        <v>MIUR</v>
      </c>
      <c r="G223" s="2" t="str">
        <f t="shared" si="29"/>
        <v>FRED/MIUR</v>
      </c>
      <c r="H223" s="2" t="s">
        <v>970</v>
      </c>
      <c r="I223" s="1" t="s">
        <v>41</v>
      </c>
      <c r="J223" s="2" t="str">
        <f t="shared" si="33"/>
        <v>UR</v>
      </c>
    </row>
    <row r="224" spans="1:10" x14ac:dyDescent="0.3">
      <c r="A224" s="2" t="str">
        <f t="shared" si="27"/>
        <v>Minnesota-Unemployment Rate</v>
      </c>
      <c r="B224" s="2" t="s">
        <v>44</v>
      </c>
      <c r="C224" s="2" t="str">
        <f t="shared" si="30"/>
        <v>Unemployment Rate</v>
      </c>
      <c r="D224" s="2" t="str">
        <f t="shared" si="31"/>
        <v>Unemployment Rate</v>
      </c>
      <c r="E224" s="2" t="str">
        <f t="shared" si="32"/>
        <v>Monthly</v>
      </c>
      <c r="F224" s="1" t="str">
        <f t="shared" si="28"/>
        <v>MNUR</v>
      </c>
      <c r="G224" s="2" t="str">
        <f t="shared" si="29"/>
        <v>FRED/MNUR</v>
      </c>
      <c r="H224" s="2" t="s">
        <v>971</v>
      </c>
      <c r="I224" s="1" t="s">
        <v>43</v>
      </c>
      <c r="J224" s="2" t="str">
        <f t="shared" si="33"/>
        <v>UR</v>
      </c>
    </row>
    <row r="225" spans="1:10" x14ac:dyDescent="0.3">
      <c r="A225" s="2" t="str">
        <f t="shared" si="27"/>
        <v>Mississippi-Unemployment Rate</v>
      </c>
      <c r="B225" s="2" t="s">
        <v>46</v>
      </c>
      <c r="C225" s="2" t="str">
        <f t="shared" si="30"/>
        <v>Unemployment Rate</v>
      </c>
      <c r="D225" s="2" t="str">
        <f t="shared" si="31"/>
        <v>Unemployment Rate</v>
      </c>
      <c r="E225" s="2" t="str">
        <f t="shared" si="32"/>
        <v>Monthly</v>
      </c>
      <c r="F225" s="1" t="str">
        <f t="shared" si="28"/>
        <v>MSUR</v>
      </c>
      <c r="G225" s="2" t="str">
        <f t="shared" si="29"/>
        <v>FRED/MSUR</v>
      </c>
      <c r="H225" s="2" t="s">
        <v>972</v>
      </c>
      <c r="I225" s="1" t="s">
        <v>45</v>
      </c>
      <c r="J225" s="2" t="str">
        <f t="shared" si="33"/>
        <v>UR</v>
      </c>
    </row>
    <row r="226" spans="1:10" x14ac:dyDescent="0.3">
      <c r="A226" s="2" t="str">
        <f t="shared" si="27"/>
        <v>Missouri-Unemployment Rate</v>
      </c>
      <c r="B226" s="2" t="s">
        <v>48</v>
      </c>
      <c r="C226" s="2" t="str">
        <f t="shared" si="30"/>
        <v>Unemployment Rate</v>
      </c>
      <c r="D226" s="2" t="str">
        <f t="shared" si="31"/>
        <v>Unemployment Rate</v>
      </c>
      <c r="E226" s="2" t="str">
        <f t="shared" si="32"/>
        <v>Monthly</v>
      </c>
      <c r="F226" s="1" t="str">
        <f t="shared" si="28"/>
        <v>MOUR</v>
      </c>
      <c r="G226" s="2" t="str">
        <f t="shared" si="29"/>
        <v>FRED/MOUR</v>
      </c>
      <c r="H226" s="2" t="s">
        <v>973</v>
      </c>
      <c r="I226" s="1" t="s">
        <v>47</v>
      </c>
      <c r="J226" s="2" t="str">
        <f t="shared" si="33"/>
        <v>UR</v>
      </c>
    </row>
    <row r="227" spans="1:10" x14ac:dyDescent="0.3">
      <c r="A227" s="2" t="str">
        <f t="shared" si="27"/>
        <v>Montana-Unemployment Rate</v>
      </c>
      <c r="B227" s="2" t="s">
        <v>50</v>
      </c>
      <c r="C227" s="2" t="str">
        <f t="shared" si="30"/>
        <v>Unemployment Rate</v>
      </c>
      <c r="D227" s="2" t="str">
        <f t="shared" si="31"/>
        <v>Unemployment Rate</v>
      </c>
      <c r="E227" s="2" t="str">
        <f t="shared" si="32"/>
        <v>Monthly</v>
      </c>
      <c r="F227" s="1" t="str">
        <f t="shared" si="28"/>
        <v>MTUR</v>
      </c>
      <c r="G227" s="2" t="str">
        <f t="shared" si="29"/>
        <v>FRED/MTUR</v>
      </c>
      <c r="H227" s="2" t="s">
        <v>974</v>
      </c>
      <c r="I227" s="1" t="s">
        <v>49</v>
      </c>
      <c r="J227" s="2" t="str">
        <f t="shared" si="33"/>
        <v>UR</v>
      </c>
    </row>
    <row r="228" spans="1:10" x14ac:dyDescent="0.3">
      <c r="A228" s="2" t="str">
        <f t="shared" si="27"/>
        <v>Nebraska-Unemployment Rate</v>
      </c>
      <c r="B228" s="2" t="s">
        <v>52</v>
      </c>
      <c r="C228" s="2" t="str">
        <f t="shared" si="30"/>
        <v>Unemployment Rate</v>
      </c>
      <c r="D228" s="2" t="str">
        <f t="shared" si="31"/>
        <v>Unemployment Rate</v>
      </c>
      <c r="E228" s="2" t="str">
        <f t="shared" si="32"/>
        <v>Monthly</v>
      </c>
      <c r="F228" s="1" t="str">
        <f t="shared" si="28"/>
        <v>NEUR</v>
      </c>
      <c r="G228" s="2" t="str">
        <f t="shared" si="29"/>
        <v>FRED/NEUR</v>
      </c>
      <c r="H228" s="2" t="s">
        <v>975</v>
      </c>
      <c r="I228" s="1" t="s">
        <v>51</v>
      </c>
      <c r="J228" s="2" t="str">
        <f t="shared" si="33"/>
        <v>UR</v>
      </c>
    </row>
    <row r="229" spans="1:10" x14ac:dyDescent="0.3">
      <c r="A229" s="2" t="str">
        <f t="shared" si="27"/>
        <v>Nevada-Unemployment Rate</v>
      </c>
      <c r="B229" s="2" t="s">
        <v>54</v>
      </c>
      <c r="C229" s="2" t="str">
        <f t="shared" si="30"/>
        <v>Unemployment Rate</v>
      </c>
      <c r="D229" s="2" t="str">
        <f t="shared" si="31"/>
        <v>Unemployment Rate</v>
      </c>
      <c r="E229" s="2" t="str">
        <f t="shared" si="32"/>
        <v>Monthly</v>
      </c>
      <c r="F229" s="1" t="str">
        <f t="shared" si="28"/>
        <v>NVUR</v>
      </c>
      <c r="G229" s="2" t="str">
        <f t="shared" si="29"/>
        <v>FRED/NVUR</v>
      </c>
      <c r="H229" s="2" t="s">
        <v>976</v>
      </c>
      <c r="I229" s="1" t="s">
        <v>53</v>
      </c>
      <c r="J229" s="2" t="str">
        <f t="shared" si="33"/>
        <v>UR</v>
      </c>
    </row>
    <row r="230" spans="1:10" x14ac:dyDescent="0.3">
      <c r="A230" s="2" t="str">
        <f t="shared" si="27"/>
        <v>New Hampshire-Unemployment Rate</v>
      </c>
      <c r="B230" s="2" t="s">
        <v>56</v>
      </c>
      <c r="C230" s="2" t="str">
        <f t="shared" si="30"/>
        <v>Unemployment Rate</v>
      </c>
      <c r="D230" s="2" t="str">
        <f t="shared" si="31"/>
        <v>Unemployment Rate</v>
      </c>
      <c r="E230" s="2" t="str">
        <f t="shared" si="32"/>
        <v>Monthly</v>
      </c>
      <c r="F230" s="1" t="str">
        <f t="shared" si="28"/>
        <v>NHUR</v>
      </c>
      <c r="G230" s="2" t="str">
        <f t="shared" si="29"/>
        <v>FRED/NHUR</v>
      </c>
      <c r="H230" s="2" t="s">
        <v>977</v>
      </c>
      <c r="I230" s="1" t="s">
        <v>55</v>
      </c>
      <c r="J230" s="2" t="str">
        <f t="shared" si="33"/>
        <v>UR</v>
      </c>
    </row>
    <row r="231" spans="1:10" x14ac:dyDescent="0.3">
      <c r="A231" s="2" t="str">
        <f t="shared" si="27"/>
        <v>New Jersey-Unemployment Rate</v>
      </c>
      <c r="B231" s="2" t="s">
        <v>58</v>
      </c>
      <c r="C231" s="2" t="str">
        <f t="shared" si="30"/>
        <v>Unemployment Rate</v>
      </c>
      <c r="D231" s="2" t="str">
        <f t="shared" si="31"/>
        <v>Unemployment Rate</v>
      </c>
      <c r="E231" s="2" t="str">
        <f t="shared" si="32"/>
        <v>Monthly</v>
      </c>
      <c r="F231" s="1" t="str">
        <f t="shared" si="28"/>
        <v>NJUR</v>
      </c>
      <c r="G231" s="2" t="str">
        <f t="shared" si="29"/>
        <v>FRED/NJUR</v>
      </c>
      <c r="H231" s="2" t="s">
        <v>978</v>
      </c>
      <c r="I231" s="1" t="s">
        <v>57</v>
      </c>
      <c r="J231" s="2" t="str">
        <f t="shared" si="33"/>
        <v>UR</v>
      </c>
    </row>
    <row r="232" spans="1:10" x14ac:dyDescent="0.3">
      <c r="A232" s="2" t="str">
        <f t="shared" si="27"/>
        <v>New Mexico-Unemployment Rate</v>
      </c>
      <c r="B232" s="2" t="s">
        <v>60</v>
      </c>
      <c r="C232" s="2" t="str">
        <f t="shared" si="30"/>
        <v>Unemployment Rate</v>
      </c>
      <c r="D232" s="2" t="str">
        <f t="shared" si="31"/>
        <v>Unemployment Rate</v>
      </c>
      <c r="E232" s="2" t="str">
        <f t="shared" si="32"/>
        <v>Monthly</v>
      </c>
      <c r="F232" s="1" t="str">
        <f t="shared" si="28"/>
        <v>NMUR</v>
      </c>
      <c r="G232" s="2" t="str">
        <f t="shared" si="29"/>
        <v>FRED/NMUR</v>
      </c>
      <c r="H232" s="2" t="s">
        <v>979</v>
      </c>
      <c r="I232" s="1" t="s">
        <v>59</v>
      </c>
      <c r="J232" s="2" t="str">
        <f t="shared" si="33"/>
        <v>UR</v>
      </c>
    </row>
    <row r="233" spans="1:10" x14ac:dyDescent="0.3">
      <c r="A233" s="2" t="str">
        <f t="shared" si="27"/>
        <v>New York-Unemployment Rate</v>
      </c>
      <c r="B233" s="2" t="s">
        <v>62</v>
      </c>
      <c r="C233" s="2" t="str">
        <f t="shared" si="30"/>
        <v>Unemployment Rate</v>
      </c>
      <c r="D233" s="2" t="str">
        <f t="shared" si="31"/>
        <v>Unemployment Rate</v>
      </c>
      <c r="E233" s="2" t="str">
        <f t="shared" si="32"/>
        <v>Monthly</v>
      </c>
      <c r="F233" s="1" t="str">
        <f t="shared" si="28"/>
        <v>NYUR</v>
      </c>
      <c r="G233" s="2" t="str">
        <f t="shared" si="29"/>
        <v>FRED/NYUR</v>
      </c>
      <c r="H233" s="2" t="s">
        <v>980</v>
      </c>
      <c r="I233" s="1" t="s">
        <v>61</v>
      </c>
      <c r="J233" s="2" t="str">
        <f t="shared" si="33"/>
        <v>UR</v>
      </c>
    </row>
    <row r="234" spans="1:10" x14ac:dyDescent="0.3">
      <c r="A234" s="2" t="str">
        <f t="shared" si="27"/>
        <v>North Carolina-Unemployment Rate</v>
      </c>
      <c r="B234" s="2" t="s">
        <v>64</v>
      </c>
      <c r="C234" s="2" t="str">
        <f t="shared" si="30"/>
        <v>Unemployment Rate</v>
      </c>
      <c r="D234" s="2" t="str">
        <f t="shared" si="31"/>
        <v>Unemployment Rate</v>
      </c>
      <c r="E234" s="2" t="str">
        <f t="shared" si="32"/>
        <v>Monthly</v>
      </c>
      <c r="F234" s="1" t="str">
        <f t="shared" si="28"/>
        <v>NCUR</v>
      </c>
      <c r="G234" s="2" t="str">
        <f t="shared" si="29"/>
        <v>FRED/NCUR</v>
      </c>
      <c r="H234" s="2" t="s">
        <v>981</v>
      </c>
      <c r="I234" s="1" t="s">
        <v>63</v>
      </c>
      <c r="J234" s="2" t="str">
        <f t="shared" si="33"/>
        <v>UR</v>
      </c>
    </row>
    <row r="235" spans="1:10" x14ac:dyDescent="0.3">
      <c r="A235" s="2" t="str">
        <f t="shared" si="27"/>
        <v>North Dakota-Unemployment Rate</v>
      </c>
      <c r="B235" s="2" t="s">
        <v>66</v>
      </c>
      <c r="C235" s="2" t="str">
        <f t="shared" si="30"/>
        <v>Unemployment Rate</v>
      </c>
      <c r="D235" s="2" t="str">
        <f t="shared" si="31"/>
        <v>Unemployment Rate</v>
      </c>
      <c r="E235" s="2" t="str">
        <f t="shared" si="32"/>
        <v>Monthly</v>
      </c>
      <c r="F235" s="1" t="str">
        <f t="shared" si="28"/>
        <v>NDUR</v>
      </c>
      <c r="G235" s="2" t="str">
        <f t="shared" si="29"/>
        <v>FRED/NDUR</v>
      </c>
      <c r="H235" s="2" t="s">
        <v>982</v>
      </c>
      <c r="I235" s="1" t="s">
        <v>65</v>
      </c>
      <c r="J235" s="2" t="str">
        <f t="shared" si="33"/>
        <v>UR</v>
      </c>
    </row>
    <row r="236" spans="1:10" x14ac:dyDescent="0.3">
      <c r="A236" s="2" t="str">
        <f t="shared" si="27"/>
        <v>Ohio-Unemployment Rate</v>
      </c>
      <c r="B236" s="2" t="s">
        <v>68</v>
      </c>
      <c r="C236" s="2" t="str">
        <f t="shared" si="30"/>
        <v>Unemployment Rate</v>
      </c>
      <c r="D236" s="2" t="str">
        <f t="shared" si="31"/>
        <v>Unemployment Rate</v>
      </c>
      <c r="E236" s="2" t="str">
        <f t="shared" si="32"/>
        <v>Monthly</v>
      </c>
      <c r="F236" s="1" t="str">
        <f t="shared" si="28"/>
        <v>OHUR</v>
      </c>
      <c r="G236" s="2" t="str">
        <f t="shared" si="29"/>
        <v>FRED/OHUR</v>
      </c>
      <c r="H236" s="2" t="s">
        <v>983</v>
      </c>
      <c r="I236" s="1" t="s">
        <v>67</v>
      </c>
      <c r="J236" s="2" t="str">
        <f t="shared" si="33"/>
        <v>UR</v>
      </c>
    </row>
    <row r="237" spans="1:10" x14ac:dyDescent="0.3">
      <c r="A237" s="2" t="str">
        <f t="shared" si="27"/>
        <v>Oklahoma-Unemployment Rate</v>
      </c>
      <c r="B237" s="2" t="s">
        <v>70</v>
      </c>
      <c r="C237" s="2" t="str">
        <f t="shared" si="30"/>
        <v>Unemployment Rate</v>
      </c>
      <c r="D237" s="2" t="str">
        <f t="shared" si="31"/>
        <v>Unemployment Rate</v>
      </c>
      <c r="E237" s="2" t="str">
        <f t="shared" si="32"/>
        <v>Monthly</v>
      </c>
      <c r="F237" s="1" t="str">
        <f t="shared" si="28"/>
        <v>OKUR</v>
      </c>
      <c r="G237" s="2" t="str">
        <f t="shared" si="29"/>
        <v>FRED/OKUR</v>
      </c>
      <c r="H237" s="2" t="s">
        <v>984</v>
      </c>
      <c r="I237" s="1" t="s">
        <v>69</v>
      </c>
      <c r="J237" s="2" t="str">
        <f t="shared" si="33"/>
        <v>UR</v>
      </c>
    </row>
    <row r="238" spans="1:10" x14ac:dyDescent="0.3">
      <c r="A238" s="2" t="str">
        <f t="shared" si="27"/>
        <v>Oregon-Unemployment Rate</v>
      </c>
      <c r="B238" s="2" t="s">
        <v>72</v>
      </c>
      <c r="C238" s="2" t="str">
        <f t="shared" si="30"/>
        <v>Unemployment Rate</v>
      </c>
      <c r="D238" s="2" t="str">
        <f t="shared" si="31"/>
        <v>Unemployment Rate</v>
      </c>
      <c r="E238" s="2" t="str">
        <f t="shared" si="32"/>
        <v>Monthly</v>
      </c>
      <c r="F238" s="1" t="str">
        <f t="shared" si="28"/>
        <v>ORUR</v>
      </c>
      <c r="G238" s="2" t="str">
        <f t="shared" si="29"/>
        <v>FRED/ORUR</v>
      </c>
      <c r="H238" s="2" t="s">
        <v>985</v>
      </c>
      <c r="I238" s="1" t="s">
        <v>71</v>
      </c>
      <c r="J238" s="2" t="str">
        <f t="shared" si="33"/>
        <v>UR</v>
      </c>
    </row>
    <row r="239" spans="1:10" x14ac:dyDescent="0.3">
      <c r="A239" s="2" t="str">
        <f t="shared" si="27"/>
        <v>Pennsylvania-Unemployment Rate</v>
      </c>
      <c r="B239" s="2" t="s">
        <v>74</v>
      </c>
      <c r="C239" s="2" t="str">
        <f t="shared" si="30"/>
        <v>Unemployment Rate</v>
      </c>
      <c r="D239" s="2" t="str">
        <f t="shared" si="31"/>
        <v>Unemployment Rate</v>
      </c>
      <c r="E239" s="2" t="str">
        <f t="shared" si="32"/>
        <v>Monthly</v>
      </c>
      <c r="F239" s="1" t="str">
        <f t="shared" si="28"/>
        <v>PAUR</v>
      </c>
      <c r="G239" s="2" t="str">
        <f t="shared" si="29"/>
        <v>FRED/PAUR</v>
      </c>
      <c r="H239" s="2" t="s">
        <v>986</v>
      </c>
      <c r="I239" s="1" t="s">
        <v>73</v>
      </c>
      <c r="J239" s="2" t="str">
        <f t="shared" si="33"/>
        <v>UR</v>
      </c>
    </row>
    <row r="240" spans="1:10" x14ac:dyDescent="0.3">
      <c r="A240" s="2" t="str">
        <f t="shared" si="27"/>
        <v>Rhode Island-Unemployment Rate</v>
      </c>
      <c r="B240" s="2" t="s">
        <v>76</v>
      </c>
      <c r="C240" s="2" t="str">
        <f t="shared" si="30"/>
        <v>Unemployment Rate</v>
      </c>
      <c r="D240" s="2" t="str">
        <f t="shared" si="31"/>
        <v>Unemployment Rate</v>
      </c>
      <c r="E240" s="2" t="str">
        <f t="shared" si="32"/>
        <v>Monthly</v>
      </c>
      <c r="F240" s="1" t="str">
        <f t="shared" si="28"/>
        <v>RIUR</v>
      </c>
      <c r="G240" s="2" t="str">
        <f t="shared" si="29"/>
        <v>FRED/RIUR</v>
      </c>
      <c r="H240" s="2" t="s">
        <v>987</v>
      </c>
      <c r="I240" s="1" t="s">
        <v>75</v>
      </c>
      <c r="J240" s="2" t="str">
        <f t="shared" si="33"/>
        <v>UR</v>
      </c>
    </row>
    <row r="241" spans="1:10" x14ac:dyDescent="0.3">
      <c r="A241" s="2" t="str">
        <f t="shared" si="27"/>
        <v>South Carolina-Unemployment Rate</v>
      </c>
      <c r="B241" s="2" t="s">
        <v>78</v>
      </c>
      <c r="C241" s="2" t="str">
        <f t="shared" si="30"/>
        <v>Unemployment Rate</v>
      </c>
      <c r="D241" s="2" t="str">
        <f t="shared" si="31"/>
        <v>Unemployment Rate</v>
      </c>
      <c r="E241" s="2" t="str">
        <f t="shared" si="32"/>
        <v>Monthly</v>
      </c>
      <c r="F241" s="1" t="str">
        <f t="shared" si="28"/>
        <v>SCUR</v>
      </c>
      <c r="G241" s="2" t="str">
        <f t="shared" si="29"/>
        <v>FRED/SCUR</v>
      </c>
      <c r="H241" s="2" t="s">
        <v>988</v>
      </c>
      <c r="I241" s="1" t="s">
        <v>77</v>
      </c>
      <c r="J241" s="2" t="str">
        <f t="shared" si="33"/>
        <v>UR</v>
      </c>
    </row>
    <row r="242" spans="1:10" x14ac:dyDescent="0.3">
      <c r="A242" s="2" t="str">
        <f t="shared" si="27"/>
        <v>South Dakota-Unemployment Rate</v>
      </c>
      <c r="B242" s="2" t="s">
        <v>80</v>
      </c>
      <c r="C242" s="2" t="str">
        <f t="shared" si="30"/>
        <v>Unemployment Rate</v>
      </c>
      <c r="D242" s="2" t="str">
        <f t="shared" si="31"/>
        <v>Unemployment Rate</v>
      </c>
      <c r="E242" s="2" t="str">
        <f t="shared" si="32"/>
        <v>Monthly</v>
      </c>
      <c r="F242" s="1" t="str">
        <f t="shared" si="28"/>
        <v>SDUR</v>
      </c>
      <c r="G242" s="2" t="str">
        <f t="shared" si="29"/>
        <v>FRED/SDUR</v>
      </c>
      <c r="H242" s="2" t="s">
        <v>989</v>
      </c>
      <c r="I242" s="1" t="s">
        <v>79</v>
      </c>
      <c r="J242" s="2" t="str">
        <f t="shared" si="33"/>
        <v>UR</v>
      </c>
    </row>
    <row r="243" spans="1:10" x14ac:dyDescent="0.3">
      <c r="A243" s="2" t="str">
        <f t="shared" si="27"/>
        <v>Tennessee-Unemployment Rate</v>
      </c>
      <c r="B243" s="2" t="s">
        <v>82</v>
      </c>
      <c r="C243" s="2" t="str">
        <f t="shared" si="30"/>
        <v>Unemployment Rate</v>
      </c>
      <c r="D243" s="2" t="str">
        <f t="shared" si="31"/>
        <v>Unemployment Rate</v>
      </c>
      <c r="E243" s="2" t="str">
        <f t="shared" si="32"/>
        <v>Monthly</v>
      </c>
      <c r="F243" s="1" t="str">
        <f t="shared" si="28"/>
        <v>TNUR</v>
      </c>
      <c r="G243" s="2" t="str">
        <f t="shared" si="29"/>
        <v>FRED/TNUR</v>
      </c>
      <c r="H243" s="2" t="s">
        <v>990</v>
      </c>
      <c r="I243" s="1" t="s">
        <v>81</v>
      </c>
      <c r="J243" s="2" t="str">
        <f t="shared" si="33"/>
        <v>UR</v>
      </c>
    </row>
    <row r="244" spans="1:10" x14ac:dyDescent="0.3">
      <c r="A244" s="2" t="str">
        <f t="shared" si="27"/>
        <v>Texas-Unemployment Rate</v>
      </c>
      <c r="B244" s="2" t="s">
        <v>84</v>
      </c>
      <c r="C244" s="2" t="str">
        <f t="shared" si="30"/>
        <v>Unemployment Rate</v>
      </c>
      <c r="D244" s="2" t="str">
        <f t="shared" si="31"/>
        <v>Unemployment Rate</v>
      </c>
      <c r="E244" s="2" t="str">
        <f t="shared" si="32"/>
        <v>Monthly</v>
      </c>
      <c r="F244" s="1" t="str">
        <f t="shared" si="28"/>
        <v>TXUR</v>
      </c>
      <c r="G244" s="2" t="str">
        <f t="shared" si="29"/>
        <v>FRED/TXUR</v>
      </c>
      <c r="H244" s="2" t="s">
        <v>991</v>
      </c>
      <c r="I244" s="1" t="s">
        <v>83</v>
      </c>
      <c r="J244" s="2" t="str">
        <f t="shared" si="33"/>
        <v>UR</v>
      </c>
    </row>
    <row r="245" spans="1:10" x14ac:dyDescent="0.3">
      <c r="A245" s="2" t="str">
        <f t="shared" si="27"/>
        <v>Utah-Unemployment Rate</v>
      </c>
      <c r="B245" s="2" t="s">
        <v>86</v>
      </c>
      <c r="C245" s="2" t="str">
        <f t="shared" si="30"/>
        <v>Unemployment Rate</v>
      </c>
      <c r="D245" s="2" t="str">
        <f t="shared" si="31"/>
        <v>Unemployment Rate</v>
      </c>
      <c r="E245" s="2" t="str">
        <f t="shared" si="32"/>
        <v>Monthly</v>
      </c>
      <c r="F245" s="1" t="str">
        <f t="shared" si="28"/>
        <v>UTUR</v>
      </c>
      <c r="G245" s="2" t="str">
        <f t="shared" si="29"/>
        <v>FRED/UTUR</v>
      </c>
      <c r="H245" s="2" t="s">
        <v>992</v>
      </c>
      <c r="I245" s="1" t="s">
        <v>85</v>
      </c>
      <c r="J245" s="2" t="str">
        <f t="shared" si="33"/>
        <v>UR</v>
      </c>
    </row>
    <row r="246" spans="1:10" x14ac:dyDescent="0.3">
      <c r="A246" s="2" t="str">
        <f t="shared" si="27"/>
        <v>Vermont-Unemployment Rate</v>
      </c>
      <c r="B246" s="2" t="s">
        <v>88</v>
      </c>
      <c r="C246" s="2" t="str">
        <f t="shared" si="30"/>
        <v>Unemployment Rate</v>
      </c>
      <c r="D246" s="2" t="str">
        <f t="shared" si="31"/>
        <v>Unemployment Rate</v>
      </c>
      <c r="E246" s="2" t="str">
        <f t="shared" si="32"/>
        <v>Monthly</v>
      </c>
      <c r="F246" s="1" t="str">
        <f t="shared" si="28"/>
        <v>VTUR</v>
      </c>
      <c r="G246" s="2" t="str">
        <f t="shared" si="29"/>
        <v>FRED/VTUR</v>
      </c>
      <c r="H246" s="2" t="s">
        <v>993</v>
      </c>
      <c r="I246" s="1" t="s">
        <v>87</v>
      </c>
      <c r="J246" s="2" t="str">
        <f t="shared" si="33"/>
        <v>UR</v>
      </c>
    </row>
    <row r="247" spans="1:10" x14ac:dyDescent="0.3">
      <c r="A247" s="2" t="str">
        <f t="shared" si="27"/>
        <v>Virginia-Unemployment Rate</v>
      </c>
      <c r="B247" s="2" t="s">
        <v>90</v>
      </c>
      <c r="C247" s="2" t="str">
        <f t="shared" si="30"/>
        <v>Unemployment Rate</v>
      </c>
      <c r="D247" s="2" t="str">
        <f t="shared" si="31"/>
        <v>Unemployment Rate</v>
      </c>
      <c r="E247" s="2" t="str">
        <f t="shared" si="32"/>
        <v>Monthly</v>
      </c>
      <c r="F247" s="1" t="str">
        <f t="shared" si="28"/>
        <v>VAUR</v>
      </c>
      <c r="G247" s="2" t="str">
        <f t="shared" si="29"/>
        <v>FRED/VAUR</v>
      </c>
      <c r="H247" s="2" t="s">
        <v>994</v>
      </c>
      <c r="I247" s="1" t="s">
        <v>89</v>
      </c>
      <c r="J247" s="2" t="str">
        <f t="shared" si="33"/>
        <v>UR</v>
      </c>
    </row>
    <row r="248" spans="1:10" x14ac:dyDescent="0.3">
      <c r="A248" s="2" t="str">
        <f t="shared" si="27"/>
        <v>Washington-Unemployment Rate</v>
      </c>
      <c r="B248" s="2" t="s">
        <v>92</v>
      </c>
      <c r="C248" s="2" t="str">
        <f t="shared" si="30"/>
        <v>Unemployment Rate</v>
      </c>
      <c r="D248" s="2" t="str">
        <f t="shared" si="31"/>
        <v>Unemployment Rate</v>
      </c>
      <c r="E248" s="2" t="str">
        <f t="shared" si="32"/>
        <v>Monthly</v>
      </c>
      <c r="F248" s="1" t="str">
        <f t="shared" si="28"/>
        <v>WAUR</v>
      </c>
      <c r="G248" s="2" t="str">
        <f t="shared" si="29"/>
        <v>FRED/WAUR</v>
      </c>
      <c r="H248" s="2" t="s">
        <v>995</v>
      </c>
      <c r="I248" s="1" t="s">
        <v>91</v>
      </c>
      <c r="J248" s="2" t="str">
        <f t="shared" si="33"/>
        <v>UR</v>
      </c>
    </row>
    <row r="249" spans="1:10" x14ac:dyDescent="0.3">
      <c r="A249" s="2" t="str">
        <f t="shared" si="27"/>
        <v>West Virginia-Unemployment Rate</v>
      </c>
      <c r="B249" s="2" t="s">
        <v>94</v>
      </c>
      <c r="C249" s="2" t="str">
        <f t="shared" si="30"/>
        <v>Unemployment Rate</v>
      </c>
      <c r="D249" s="2" t="str">
        <f t="shared" si="31"/>
        <v>Unemployment Rate</v>
      </c>
      <c r="E249" s="2" t="str">
        <f t="shared" si="32"/>
        <v>Monthly</v>
      </c>
      <c r="F249" s="1" t="str">
        <f t="shared" si="28"/>
        <v>WVUR</v>
      </c>
      <c r="G249" s="2" t="str">
        <f t="shared" si="29"/>
        <v>FRED/WVUR</v>
      </c>
      <c r="H249" s="2" t="s">
        <v>996</v>
      </c>
      <c r="I249" s="1" t="s">
        <v>93</v>
      </c>
      <c r="J249" s="2" t="str">
        <f t="shared" si="33"/>
        <v>UR</v>
      </c>
    </row>
    <row r="250" spans="1:10" x14ac:dyDescent="0.3">
      <c r="A250" s="2" t="str">
        <f t="shared" si="27"/>
        <v>Wisconsin-Unemployment Rate</v>
      </c>
      <c r="B250" s="2" t="s">
        <v>96</v>
      </c>
      <c r="C250" s="2" t="str">
        <f t="shared" si="30"/>
        <v>Unemployment Rate</v>
      </c>
      <c r="D250" s="2" t="str">
        <f t="shared" si="31"/>
        <v>Unemployment Rate</v>
      </c>
      <c r="E250" s="2" t="str">
        <f t="shared" si="32"/>
        <v>Monthly</v>
      </c>
      <c r="F250" s="1" t="str">
        <f t="shared" si="28"/>
        <v>WIUR</v>
      </c>
      <c r="G250" s="2" t="str">
        <f t="shared" si="29"/>
        <v>FRED/WIUR</v>
      </c>
      <c r="H250" s="2" t="s">
        <v>997</v>
      </c>
      <c r="I250" s="1" t="s">
        <v>95</v>
      </c>
      <c r="J250" s="2" t="str">
        <f t="shared" si="33"/>
        <v>UR</v>
      </c>
    </row>
    <row r="251" spans="1:10" x14ac:dyDescent="0.3">
      <c r="A251" s="2" t="str">
        <f t="shared" si="27"/>
        <v>Wyoming-Unemployment Rate</v>
      </c>
      <c r="B251" s="2" t="s">
        <v>98</v>
      </c>
      <c r="C251" s="2" t="str">
        <f t="shared" si="30"/>
        <v>Unemployment Rate</v>
      </c>
      <c r="D251" s="2" t="str">
        <f t="shared" si="31"/>
        <v>Unemployment Rate</v>
      </c>
      <c r="E251" s="2" t="str">
        <f t="shared" si="32"/>
        <v>Monthly</v>
      </c>
      <c r="F251" s="1" t="str">
        <f t="shared" si="28"/>
        <v>WYUR</v>
      </c>
      <c r="G251" s="2" t="str">
        <f t="shared" si="29"/>
        <v>FRED/WYUR</v>
      </c>
      <c r="H251" s="2" t="s">
        <v>998</v>
      </c>
      <c r="I251" s="1" t="s">
        <v>97</v>
      </c>
      <c r="J251" s="2" t="str">
        <f t="shared" si="33"/>
        <v>UR</v>
      </c>
    </row>
    <row r="252" spans="1:10" x14ac:dyDescent="0.3">
      <c r="A252" s="2" t="str">
        <f t="shared" si="27"/>
        <v>Alabama-Total Personal Income</v>
      </c>
      <c r="B252" s="2" t="s">
        <v>1</v>
      </c>
      <c r="C252" s="4" t="s">
        <v>114</v>
      </c>
      <c r="D252" s="4" t="s">
        <v>114</v>
      </c>
      <c r="E252" s="4" t="s">
        <v>103</v>
      </c>
      <c r="F252" s="1" t="str">
        <f>I252&amp;J252</f>
        <v>ALOTOT</v>
      </c>
      <c r="G252" s="2" t="str">
        <f>"FRED/"&amp;F252</f>
        <v>FRED/ALOTOT</v>
      </c>
      <c r="I252" s="1" t="s">
        <v>0</v>
      </c>
      <c r="J252" s="4" t="s">
        <v>113</v>
      </c>
    </row>
    <row r="253" spans="1:10" x14ac:dyDescent="0.3">
      <c r="A253" s="2" t="str">
        <f t="shared" si="27"/>
        <v>Alaska-Total Personal Income</v>
      </c>
      <c r="B253" s="2" t="s">
        <v>3</v>
      </c>
      <c r="C253" s="2" t="str">
        <f>C252</f>
        <v>Total Personal Income</v>
      </c>
      <c r="D253" s="2" t="str">
        <f>D252</f>
        <v>Total Personal Income</v>
      </c>
      <c r="E253" s="2" t="str">
        <f>E252</f>
        <v>Monthly</v>
      </c>
      <c r="F253" s="1" t="str">
        <f t="shared" ref="F253:F301" si="34">I253&amp;J253</f>
        <v>AKOTOT</v>
      </c>
      <c r="G253" s="2" t="str">
        <f t="shared" si="29"/>
        <v>FRED/AKOTOT</v>
      </c>
      <c r="I253" s="1" t="s">
        <v>2</v>
      </c>
      <c r="J253" s="2" t="str">
        <f>J252</f>
        <v>OTOT</v>
      </c>
    </row>
    <row r="254" spans="1:10" x14ac:dyDescent="0.3">
      <c r="A254" s="2" t="str">
        <f t="shared" si="27"/>
        <v>Arizona-Total Personal Income</v>
      </c>
      <c r="B254" s="2" t="s">
        <v>5</v>
      </c>
      <c r="C254" s="2" t="str">
        <f t="shared" ref="C254:C301" si="35">C253</f>
        <v>Total Personal Income</v>
      </c>
      <c r="D254" s="2" t="str">
        <f t="shared" ref="D254:D301" si="36">D253</f>
        <v>Total Personal Income</v>
      </c>
      <c r="E254" s="2" t="str">
        <f t="shared" ref="E254:E301" si="37">E253</f>
        <v>Monthly</v>
      </c>
      <c r="F254" s="1" t="str">
        <f t="shared" si="34"/>
        <v>AZOTOT</v>
      </c>
      <c r="G254" s="2" t="str">
        <f t="shared" si="29"/>
        <v>FRED/AZOTOT</v>
      </c>
      <c r="I254" s="1" t="s">
        <v>4</v>
      </c>
      <c r="J254" s="2" t="str">
        <f t="shared" ref="J254:J301" si="38">J253</f>
        <v>OTOT</v>
      </c>
    </row>
    <row r="255" spans="1:10" x14ac:dyDescent="0.3">
      <c r="A255" s="2" t="str">
        <f t="shared" si="27"/>
        <v>Arkansas-Total Personal Income</v>
      </c>
      <c r="B255" s="2" t="s">
        <v>7</v>
      </c>
      <c r="C255" s="2" t="str">
        <f t="shared" si="35"/>
        <v>Total Personal Income</v>
      </c>
      <c r="D255" s="2" t="str">
        <f t="shared" si="36"/>
        <v>Total Personal Income</v>
      </c>
      <c r="E255" s="2" t="str">
        <f t="shared" si="37"/>
        <v>Monthly</v>
      </c>
      <c r="F255" s="1" t="str">
        <f t="shared" si="34"/>
        <v>AROTOT</v>
      </c>
      <c r="G255" s="2" t="str">
        <f t="shared" si="29"/>
        <v>FRED/AROTOT</v>
      </c>
      <c r="I255" s="1" t="s">
        <v>6</v>
      </c>
      <c r="J255" s="2" t="str">
        <f t="shared" si="38"/>
        <v>OTOT</v>
      </c>
    </row>
    <row r="256" spans="1:10" x14ac:dyDescent="0.3">
      <c r="A256" s="2" t="str">
        <f t="shared" si="27"/>
        <v>California-Total Personal Income</v>
      </c>
      <c r="B256" s="2" t="s">
        <v>124</v>
      </c>
      <c r="C256" s="2" t="str">
        <f t="shared" si="35"/>
        <v>Total Personal Income</v>
      </c>
      <c r="D256" s="2" t="str">
        <f t="shared" si="36"/>
        <v>Total Personal Income</v>
      </c>
      <c r="E256" s="2" t="str">
        <f t="shared" si="37"/>
        <v>Monthly</v>
      </c>
      <c r="F256" s="1" t="str">
        <f t="shared" si="34"/>
        <v>CAOTOT</v>
      </c>
      <c r="G256" s="2" t="str">
        <f t="shared" si="29"/>
        <v>FRED/CAOTOT</v>
      </c>
      <c r="I256" s="1" t="s">
        <v>8</v>
      </c>
      <c r="J256" s="2" t="str">
        <f t="shared" si="38"/>
        <v>OTOT</v>
      </c>
    </row>
    <row r="257" spans="1:10" x14ac:dyDescent="0.3">
      <c r="A257" s="2" t="str">
        <f t="shared" si="27"/>
        <v>Colorado-Total Personal Income</v>
      </c>
      <c r="B257" s="2" t="s">
        <v>10</v>
      </c>
      <c r="C257" s="2" t="str">
        <f t="shared" si="35"/>
        <v>Total Personal Income</v>
      </c>
      <c r="D257" s="2" t="str">
        <f t="shared" si="36"/>
        <v>Total Personal Income</v>
      </c>
      <c r="E257" s="2" t="str">
        <f t="shared" si="37"/>
        <v>Monthly</v>
      </c>
      <c r="F257" s="1" t="str">
        <f t="shared" si="34"/>
        <v>COOTOT</v>
      </c>
      <c r="G257" s="2" t="str">
        <f t="shared" si="29"/>
        <v>FRED/COOTOT</v>
      </c>
      <c r="I257" s="1" t="s">
        <v>9</v>
      </c>
      <c r="J257" s="2" t="str">
        <f t="shared" si="38"/>
        <v>OTOT</v>
      </c>
    </row>
    <row r="258" spans="1:10" x14ac:dyDescent="0.3">
      <c r="A258" s="2" t="str">
        <f t="shared" si="27"/>
        <v>Connecticut-Total Personal Income</v>
      </c>
      <c r="B258" s="2" t="s">
        <v>12</v>
      </c>
      <c r="C258" s="2" t="str">
        <f t="shared" si="35"/>
        <v>Total Personal Income</v>
      </c>
      <c r="D258" s="2" t="str">
        <f t="shared" si="36"/>
        <v>Total Personal Income</v>
      </c>
      <c r="E258" s="2" t="str">
        <f t="shared" si="37"/>
        <v>Monthly</v>
      </c>
      <c r="F258" s="1" t="str">
        <f t="shared" si="34"/>
        <v>CTOTOT</v>
      </c>
      <c r="G258" s="2" t="str">
        <f t="shared" si="29"/>
        <v>FRED/CTOTOT</v>
      </c>
      <c r="I258" s="1" t="s">
        <v>11</v>
      </c>
      <c r="J258" s="2" t="str">
        <f t="shared" si="38"/>
        <v>OTOT</v>
      </c>
    </row>
    <row r="259" spans="1:10" x14ac:dyDescent="0.3">
      <c r="A259" s="2" t="str">
        <f t="shared" ref="A259:A322" si="39">B259&amp;"-"&amp;C259</f>
        <v>Delaware-Total Personal Income</v>
      </c>
      <c r="B259" s="2" t="s">
        <v>14</v>
      </c>
      <c r="C259" s="2" t="str">
        <f t="shared" si="35"/>
        <v>Total Personal Income</v>
      </c>
      <c r="D259" s="2" t="str">
        <f t="shared" si="36"/>
        <v>Total Personal Income</v>
      </c>
      <c r="E259" s="2" t="str">
        <f t="shared" si="37"/>
        <v>Monthly</v>
      </c>
      <c r="F259" s="1" t="str">
        <f t="shared" si="34"/>
        <v>DEOTOT</v>
      </c>
      <c r="G259" s="2" t="str">
        <f t="shared" si="29"/>
        <v>FRED/DEOTOT</v>
      </c>
      <c r="I259" s="1" t="s">
        <v>13</v>
      </c>
      <c r="J259" s="2" t="str">
        <f t="shared" si="38"/>
        <v>OTOT</v>
      </c>
    </row>
    <row r="260" spans="1:10" x14ac:dyDescent="0.3">
      <c r="A260" s="2" t="str">
        <f t="shared" si="39"/>
        <v>Florida-Total Personal Income</v>
      </c>
      <c r="B260" s="2" t="s">
        <v>16</v>
      </c>
      <c r="C260" s="2" t="str">
        <f t="shared" si="35"/>
        <v>Total Personal Income</v>
      </c>
      <c r="D260" s="2" t="str">
        <f t="shared" si="36"/>
        <v>Total Personal Income</v>
      </c>
      <c r="E260" s="2" t="str">
        <f t="shared" si="37"/>
        <v>Monthly</v>
      </c>
      <c r="F260" s="1" t="str">
        <f t="shared" si="34"/>
        <v>FLOTOT</v>
      </c>
      <c r="G260" s="2" t="str">
        <f t="shared" si="29"/>
        <v>FRED/FLOTOT</v>
      </c>
      <c r="I260" s="1" t="s">
        <v>15</v>
      </c>
      <c r="J260" s="2" t="str">
        <f t="shared" si="38"/>
        <v>OTOT</v>
      </c>
    </row>
    <row r="261" spans="1:10" x14ac:dyDescent="0.3">
      <c r="A261" s="2" t="str">
        <f t="shared" si="39"/>
        <v>Georgia-Total Personal Income</v>
      </c>
      <c r="B261" s="2" t="s">
        <v>18</v>
      </c>
      <c r="C261" s="2" t="str">
        <f t="shared" si="35"/>
        <v>Total Personal Income</v>
      </c>
      <c r="D261" s="2" t="str">
        <f t="shared" si="36"/>
        <v>Total Personal Income</v>
      </c>
      <c r="E261" s="2" t="str">
        <f t="shared" si="37"/>
        <v>Monthly</v>
      </c>
      <c r="F261" s="1" t="str">
        <f t="shared" si="34"/>
        <v>GAOTOT</v>
      </c>
      <c r="G261" s="2" t="str">
        <f t="shared" si="29"/>
        <v>FRED/GAOTOT</v>
      </c>
      <c r="I261" s="1" t="s">
        <v>17</v>
      </c>
      <c r="J261" s="2" t="str">
        <f t="shared" si="38"/>
        <v>OTOT</v>
      </c>
    </row>
    <row r="262" spans="1:10" x14ac:dyDescent="0.3">
      <c r="A262" s="2" t="str">
        <f t="shared" si="39"/>
        <v>Hawaii-Total Personal Income</v>
      </c>
      <c r="B262" s="2" t="s">
        <v>20</v>
      </c>
      <c r="C262" s="2" t="str">
        <f t="shared" si="35"/>
        <v>Total Personal Income</v>
      </c>
      <c r="D262" s="2" t="str">
        <f t="shared" si="36"/>
        <v>Total Personal Income</v>
      </c>
      <c r="E262" s="2" t="str">
        <f t="shared" si="37"/>
        <v>Monthly</v>
      </c>
      <c r="F262" s="1" t="str">
        <f t="shared" si="34"/>
        <v>HIOTOT</v>
      </c>
      <c r="G262" s="2" t="str">
        <f t="shared" si="29"/>
        <v>FRED/HIOTOT</v>
      </c>
      <c r="I262" s="1" t="s">
        <v>19</v>
      </c>
      <c r="J262" s="2" t="str">
        <f t="shared" si="38"/>
        <v>OTOT</v>
      </c>
    </row>
    <row r="263" spans="1:10" x14ac:dyDescent="0.3">
      <c r="A263" s="2" t="str">
        <f t="shared" si="39"/>
        <v>Idaho-Total Personal Income</v>
      </c>
      <c r="B263" s="2" t="s">
        <v>22</v>
      </c>
      <c r="C263" s="2" t="str">
        <f t="shared" si="35"/>
        <v>Total Personal Income</v>
      </c>
      <c r="D263" s="2" t="str">
        <f t="shared" si="36"/>
        <v>Total Personal Income</v>
      </c>
      <c r="E263" s="2" t="str">
        <f t="shared" si="37"/>
        <v>Monthly</v>
      </c>
      <c r="F263" s="1" t="str">
        <f t="shared" si="34"/>
        <v>IDOTOT</v>
      </c>
      <c r="G263" s="2" t="str">
        <f t="shared" si="29"/>
        <v>FRED/IDOTOT</v>
      </c>
      <c r="I263" s="1" t="s">
        <v>21</v>
      </c>
      <c r="J263" s="2" t="str">
        <f t="shared" si="38"/>
        <v>OTOT</v>
      </c>
    </row>
    <row r="264" spans="1:10" x14ac:dyDescent="0.3">
      <c r="A264" s="2" t="str">
        <f t="shared" si="39"/>
        <v>Illinois-Total Personal Income</v>
      </c>
      <c r="B264" s="2" t="s">
        <v>24</v>
      </c>
      <c r="C264" s="2" t="str">
        <f t="shared" si="35"/>
        <v>Total Personal Income</v>
      </c>
      <c r="D264" s="2" t="str">
        <f t="shared" si="36"/>
        <v>Total Personal Income</v>
      </c>
      <c r="E264" s="2" t="str">
        <f t="shared" si="37"/>
        <v>Monthly</v>
      </c>
      <c r="F264" s="1" t="str">
        <f t="shared" si="34"/>
        <v>ILOTOT</v>
      </c>
      <c r="G264" s="2" t="str">
        <f t="shared" si="29"/>
        <v>FRED/ILOTOT</v>
      </c>
      <c r="I264" s="1" t="s">
        <v>23</v>
      </c>
      <c r="J264" s="2" t="str">
        <f t="shared" si="38"/>
        <v>OTOT</v>
      </c>
    </row>
    <row r="265" spans="1:10" x14ac:dyDescent="0.3">
      <c r="A265" s="2" t="str">
        <f t="shared" si="39"/>
        <v>Indiana-Total Personal Income</v>
      </c>
      <c r="B265" s="2" t="s">
        <v>26</v>
      </c>
      <c r="C265" s="2" t="str">
        <f t="shared" si="35"/>
        <v>Total Personal Income</v>
      </c>
      <c r="D265" s="2" t="str">
        <f t="shared" si="36"/>
        <v>Total Personal Income</v>
      </c>
      <c r="E265" s="2" t="str">
        <f t="shared" si="37"/>
        <v>Monthly</v>
      </c>
      <c r="F265" s="1" t="str">
        <f t="shared" si="34"/>
        <v>INOTOT</v>
      </c>
      <c r="G265" s="2" t="str">
        <f t="shared" si="29"/>
        <v>FRED/INOTOT</v>
      </c>
      <c r="I265" s="1" t="s">
        <v>25</v>
      </c>
      <c r="J265" s="2" t="str">
        <f t="shared" si="38"/>
        <v>OTOT</v>
      </c>
    </row>
    <row r="266" spans="1:10" x14ac:dyDescent="0.3">
      <c r="A266" s="2" t="str">
        <f t="shared" si="39"/>
        <v>Iowa-Total Personal Income</v>
      </c>
      <c r="B266" s="2" t="s">
        <v>28</v>
      </c>
      <c r="C266" s="2" t="str">
        <f t="shared" si="35"/>
        <v>Total Personal Income</v>
      </c>
      <c r="D266" s="2" t="str">
        <f t="shared" si="36"/>
        <v>Total Personal Income</v>
      </c>
      <c r="E266" s="2" t="str">
        <f t="shared" si="37"/>
        <v>Monthly</v>
      </c>
      <c r="F266" s="1" t="str">
        <f t="shared" si="34"/>
        <v>IAOTOT</v>
      </c>
      <c r="G266" s="2" t="str">
        <f t="shared" si="29"/>
        <v>FRED/IAOTOT</v>
      </c>
      <c r="I266" s="1" t="s">
        <v>27</v>
      </c>
      <c r="J266" s="2" t="str">
        <f t="shared" si="38"/>
        <v>OTOT</v>
      </c>
    </row>
    <row r="267" spans="1:10" x14ac:dyDescent="0.3">
      <c r="A267" s="2" t="str">
        <f t="shared" si="39"/>
        <v>Kansas-Total Personal Income</v>
      </c>
      <c r="B267" s="2" t="s">
        <v>30</v>
      </c>
      <c r="C267" s="2" t="str">
        <f t="shared" si="35"/>
        <v>Total Personal Income</v>
      </c>
      <c r="D267" s="2" t="str">
        <f t="shared" si="36"/>
        <v>Total Personal Income</v>
      </c>
      <c r="E267" s="2" t="str">
        <f t="shared" si="37"/>
        <v>Monthly</v>
      </c>
      <c r="F267" s="1" t="str">
        <f t="shared" si="34"/>
        <v>KSOTOT</v>
      </c>
      <c r="G267" s="2" t="str">
        <f t="shared" ref="G267:G301" si="40">"FRED/"&amp;F267</f>
        <v>FRED/KSOTOT</v>
      </c>
      <c r="I267" s="1" t="s">
        <v>29</v>
      </c>
      <c r="J267" s="2" t="str">
        <f t="shared" si="38"/>
        <v>OTOT</v>
      </c>
    </row>
    <row r="268" spans="1:10" x14ac:dyDescent="0.3">
      <c r="A268" s="2" t="str">
        <f t="shared" si="39"/>
        <v>Kentucky-Total Personal Income</v>
      </c>
      <c r="B268" s="2" t="s">
        <v>32</v>
      </c>
      <c r="C268" s="2" t="str">
        <f t="shared" si="35"/>
        <v>Total Personal Income</v>
      </c>
      <c r="D268" s="2" t="str">
        <f t="shared" si="36"/>
        <v>Total Personal Income</v>
      </c>
      <c r="E268" s="2" t="str">
        <f t="shared" si="37"/>
        <v>Monthly</v>
      </c>
      <c r="F268" s="1" t="str">
        <f t="shared" si="34"/>
        <v>KYOTOT</v>
      </c>
      <c r="G268" s="2" t="str">
        <f t="shared" si="40"/>
        <v>FRED/KYOTOT</v>
      </c>
      <c r="I268" s="1" t="s">
        <v>31</v>
      </c>
      <c r="J268" s="2" t="str">
        <f t="shared" si="38"/>
        <v>OTOT</v>
      </c>
    </row>
    <row r="269" spans="1:10" x14ac:dyDescent="0.3">
      <c r="A269" s="2" t="str">
        <f t="shared" si="39"/>
        <v>Louisiana-Total Personal Income</v>
      </c>
      <c r="B269" s="2" t="s">
        <v>34</v>
      </c>
      <c r="C269" s="2" t="str">
        <f t="shared" si="35"/>
        <v>Total Personal Income</v>
      </c>
      <c r="D269" s="2" t="str">
        <f t="shared" si="36"/>
        <v>Total Personal Income</v>
      </c>
      <c r="E269" s="2" t="str">
        <f t="shared" si="37"/>
        <v>Monthly</v>
      </c>
      <c r="F269" s="1" t="str">
        <f t="shared" si="34"/>
        <v>LAOTOT</v>
      </c>
      <c r="G269" s="2" t="str">
        <f t="shared" si="40"/>
        <v>FRED/LAOTOT</v>
      </c>
      <c r="I269" s="1" t="s">
        <v>33</v>
      </c>
      <c r="J269" s="2" t="str">
        <f t="shared" si="38"/>
        <v>OTOT</v>
      </c>
    </row>
    <row r="270" spans="1:10" x14ac:dyDescent="0.3">
      <c r="A270" s="2" t="str">
        <f t="shared" si="39"/>
        <v>Maine-Total Personal Income</v>
      </c>
      <c r="B270" s="2" t="s">
        <v>36</v>
      </c>
      <c r="C270" s="2" t="str">
        <f t="shared" si="35"/>
        <v>Total Personal Income</v>
      </c>
      <c r="D270" s="2" t="str">
        <f t="shared" si="36"/>
        <v>Total Personal Income</v>
      </c>
      <c r="E270" s="2" t="str">
        <f t="shared" si="37"/>
        <v>Monthly</v>
      </c>
      <c r="F270" s="1" t="str">
        <f t="shared" si="34"/>
        <v>MEOTOT</v>
      </c>
      <c r="G270" s="2" t="str">
        <f t="shared" si="40"/>
        <v>FRED/MEOTOT</v>
      </c>
      <c r="I270" s="1" t="s">
        <v>35</v>
      </c>
      <c r="J270" s="2" t="str">
        <f t="shared" si="38"/>
        <v>OTOT</v>
      </c>
    </row>
    <row r="271" spans="1:10" x14ac:dyDescent="0.3">
      <c r="A271" s="2" t="str">
        <f t="shared" si="39"/>
        <v>Maryland-Total Personal Income</v>
      </c>
      <c r="B271" s="2" t="s">
        <v>38</v>
      </c>
      <c r="C271" s="2" t="str">
        <f t="shared" si="35"/>
        <v>Total Personal Income</v>
      </c>
      <c r="D271" s="2" t="str">
        <f t="shared" si="36"/>
        <v>Total Personal Income</v>
      </c>
      <c r="E271" s="2" t="str">
        <f t="shared" si="37"/>
        <v>Monthly</v>
      </c>
      <c r="F271" s="1" t="str">
        <f t="shared" si="34"/>
        <v>MDOTOT</v>
      </c>
      <c r="G271" s="2" t="str">
        <f t="shared" si="40"/>
        <v>FRED/MDOTOT</v>
      </c>
      <c r="I271" s="1" t="s">
        <v>37</v>
      </c>
      <c r="J271" s="2" t="str">
        <f t="shared" si="38"/>
        <v>OTOT</v>
      </c>
    </row>
    <row r="272" spans="1:10" x14ac:dyDescent="0.3">
      <c r="A272" s="2" t="str">
        <f t="shared" si="39"/>
        <v>Massachusetts-Total Personal Income</v>
      </c>
      <c r="B272" s="2" t="s">
        <v>40</v>
      </c>
      <c r="C272" s="2" t="str">
        <f t="shared" si="35"/>
        <v>Total Personal Income</v>
      </c>
      <c r="D272" s="2" t="str">
        <f t="shared" si="36"/>
        <v>Total Personal Income</v>
      </c>
      <c r="E272" s="2" t="str">
        <f t="shared" si="37"/>
        <v>Monthly</v>
      </c>
      <c r="F272" s="1" t="str">
        <f t="shared" si="34"/>
        <v>MAOTOT</v>
      </c>
      <c r="G272" s="2" t="str">
        <f t="shared" si="40"/>
        <v>FRED/MAOTOT</v>
      </c>
      <c r="I272" s="1" t="s">
        <v>39</v>
      </c>
      <c r="J272" s="2" t="str">
        <f t="shared" si="38"/>
        <v>OTOT</v>
      </c>
    </row>
    <row r="273" spans="1:10" x14ac:dyDescent="0.3">
      <c r="A273" s="2" t="str">
        <f t="shared" si="39"/>
        <v>Michigan-Total Personal Income</v>
      </c>
      <c r="B273" s="2" t="s">
        <v>42</v>
      </c>
      <c r="C273" s="2" t="str">
        <f t="shared" si="35"/>
        <v>Total Personal Income</v>
      </c>
      <c r="D273" s="2" t="str">
        <f t="shared" si="36"/>
        <v>Total Personal Income</v>
      </c>
      <c r="E273" s="2" t="str">
        <f t="shared" si="37"/>
        <v>Monthly</v>
      </c>
      <c r="F273" s="1" t="str">
        <f t="shared" si="34"/>
        <v>MIOTOT</v>
      </c>
      <c r="G273" s="2" t="str">
        <f t="shared" si="40"/>
        <v>FRED/MIOTOT</v>
      </c>
      <c r="I273" s="1" t="s">
        <v>41</v>
      </c>
      <c r="J273" s="2" t="str">
        <f t="shared" si="38"/>
        <v>OTOT</v>
      </c>
    </row>
    <row r="274" spans="1:10" x14ac:dyDescent="0.3">
      <c r="A274" s="2" t="str">
        <f t="shared" si="39"/>
        <v>Minnesota-Total Personal Income</v>
      </c>
      <c r="B274" s="2" t="s">
        <v>44</v>
      </c>
      <c r="C274" s="2" t="str">
        <f t="shared" si="35"/>
        <v>Total Personal Income</v>
      </c>
      <c r="D274" s="2" t="str">
        <f t="shared" si="36"/>
        <v>Total Personal Income</v>
      </c>
      <c r="E274" s="2" t="str">
        <f t="shared" si="37"/>
        <v>Monthly</v>
      </c>
      <c r="F274" s="1" t="str">
        <f t="shared" si="34"/>
        <v>MNOTOT</v>
      </c>
      <c r="G274" s="2" t="str">
        <f t="shared" si="40"/>
        <v>FRED/MNOTOT</v>
      </c>
      <c r="I274" s="1" t="s">
        <v>43</v>
      </c>
      <c r="J274" s="2" t="str">
        <f t="shared" si="38"/>
        <v>OTOT</v>
      </c>
    </row>
    <row r="275" spans="1:10" x14ac:dyDescent="0.3">
      <c r="A275" s="2" t="str">
        <f t="shared" si="39"/>
        <v>Mississippi-Total Personal Income</v>
      </c>
      <c r="B275" s="2" t="s">
        <v>46</v>
      </c>
      <c r="C275" s="2" t="str">
        <f t="shared" si="35"/>
        <v>Total Personal Income</v>
      </c>
      <c r="D275" s="2" t="str">
        <f t="shared" si="36"/>
        <v>Total Personal Income</v>
      </c>
      <c r="E275" s="2" t="str">
        <f t="shared" si="37"/>
        <v>Monthly</v>
      </c>
      <c r="F275" s="1" t="str">
        <f t="shared" si="34"/>
        <v>MSOTOT</v>
      </c>
      <c r="G275" s="2" t="str">
        <f t="shared" si="40"/>
        <v>FRED/MSOTOT</v>
      </c>
      <c r="I275" s="1" t="s">
        <v>45</v>
      </c>
      <c r="J275" s="2" t="str">
        <f t="shared" si="38"/>
        <v>OTOT</v>
      </c>
    </row>
    <row r="276" spans="1:10" x14ac:dyDescent="0.3">
      <c r="A276" s="2" t="str">
        <f t="shared" si="39"/>
        <v>Missouri-Total Personal Income</v>
      </c>
      <c r="B276" s="2" t="s">
        <v>48</v>
      </c>
      <c r="C276" s="2" t="str">
        <f t="shared" si="35"/>
        <v>Total Personal Income</v>
      </c>
      <c r="D276" s="2" t="str">
        <f t="shared" si="36"/>
        <v>Total Personal Income</v>
      </c>
      <c r="E276" s="2" t="str">
        <f t="shared" si="37"/>
        <v>Monthly</v>
      </c>
      <c r="F276" s="1" t="str">
        <f t="shared" si="34"/>
        <v>MOOTOT</v>
      </c>
      <c r="G276" s="2" t="str">
        <f t="shared" si="40"/>
        <v>FRED/MOOTOT</v>
      </c>
      <c r="I276" s="1" t="s">
        <v>47</v>
      </c>
      <c r="J276" s="2" t="str">
        <f t="shared" si="38"/>
        <v>OTOT</v>
      </c>
    </row>
    <row r="277" spans="1:10" x14ac:dyDescent="0.3">
      <c r="A277" s="2" t="str">
        <f t="shared" si="39"/>
        <v>Montana-Total Personal Income</v>
      </c>
      <c r="B277" s="2" t="s">
        <v>50</v>
      </c>
      <c r="C277" s="2" t="str">
        <f t="shared" si="35"/>
        <v>Total Personal Income</v>
      </c>
      <c r="D277" s="2" t="str">
        <f t="shared" si="36"/>
        <v>Total Personal Income</v>
      </c>
      <c r="E277" s="2" t="str">
        <f t="shared" si="37"/>
        <v>Monthly</v>
      </c>
      <c r="F277" s="1" t="str">
        <f t="shared" si="34"/>
        <v>MTOTOT</v>
      </c>
      <c r="G277" s="2" t="str">
        <f t="shared" si="40"/>
        <v>FRED/MTOTOT</v>
      </c>
      <c r="I277" s="1" t="s">
        <v>49</v>
      </c>
      <c r="J277" s="2" t="str">
        <f t="shared" si="38"/>
        <v>OTOT</v>
      </c>
    </row>
    <row r="278" spans="1:10" x14ac:dyDescent="0.3">
      <c r="A278" s="2" t="str">
        <f t="shared" si="39"/>
        <v>Nebraska-Total Personal Income</v>
      </c>
      <c r="B278" s="2" t="s">
        <v>52</v>
      </c>
      <c r="C278" s="2" t="str">
        <f t="shared" si="35"/>
        <v>Total Personal Income</v>
      </c>
      <c r="D278" s="2" t="str">
        <f t="shared" si="36"/>
        <v>Total Personal Income</v>
      </c>
      <c r="E278" s="2" t="str">
        <f t="shared" si="37"/>
        <v>Monthly</v>
      </c>
      <c r="F278" s="1" t="str">
        <f t="shared" si="34"/>
        <v>NEOTOT</v>
      </c>
      <c r="G278" s="2" t="str">
        <f t="shared" si="40"/>
        <v>FRED/NEOTOT</v>
      </c>
      <c r="I278" s="1" t="s">
        <v>51</v>
      </c>
      <c r="J278" s="2" t="str">
        <f t="shared" si="38"/>
        <v>OTOT</v>
      </c>
    </row>
    <row r="279" spans="1:10" x14ac:dyDescent="0.3">
      <c r="A279" s="2" t="str">
        <f t="shared" si="39"/>
        <v>Nevada-Total Personal Income</v>
      </c>
      <c r="B279" s="2" t="s">
        <v>54</v>
      </c>
      <c r="C279" s="2" t="str">
        <f t="shared" si="35"/>
        <v>Total Personal Income</v>
      </c>
      <c r="D279" s="2" t="str">
        <f t="shared" si="36"/>
        <v>Total Personal Income</v>
      </c>
      <c r="E279" s="2" t="str">
        <f t="shared" si="37"/>
        <v>Monthly</v>
      </c>
      <c r="F279" s="1" t="str">
        <f t="shared" si="34"/>
        <v>NVOTOT</v>
      </c>
      <c r="G279" s="2" t="str">
        <f t="shared" si="40"/>
        <v>FRED/NVOTOT</v>
      </c>
      <c r="I279" s="1" t="s">
        <v>53</v>
      </c>
      <c r="J279" s="2" t="str">
        <f t="shared" si="38"/>
        <v>OTOT</v>
      </c>
    </row>
    <row r="280" spans="1:10" x14ac:dyDescent="0.3">
      <c r="A280" s="2" t="str">
        <f t="shared" si="39"/>
        <v>New Hampshire-Total Personal Income</v>
      </c>
      <c r="B280" s="2" t="s">
        <v>56</v>
      </c>
      <c r="C280" s="2" t="str">
        <f t="shared" si="35"/>
        <v>Total Personal Income</v>
      </c>
      <c r="D280" s="2" t="str">
        <f t="shared" si="36"/>
        <v>Total Personal Income</v>
      </c>
      <c r="E280" s="2" t="str">
        <f t="shared" si="37"/>
        <v>Monthly</v>
      </c>
      <c r="F280" s="1" t="str">
        <f t="shared" si="34"/>
        <v>NHOTOT</v>
      </c>
      <c r="G280" s="2" t="str">
        <f t="shared" si="40"/>
        <v>FRED/NHOTOT</v>
      </c>
      <c r="I280" s="1" t="s">
        <v>55</v>
      </c>
      <c r="J280" s="2" t="str">
        <f t="shared" si="38"/>
        <v>OTOT</v>
      </c>
    </row>
    <row r="281" spans="1:10" x14ac:dyDescent="0.3">
      <c r="A281" s="2" t="str">
        <f t="shared" si="39"/>
        <v>New Jersey-Total Personal Income</v>
      </c>
      <c r="B281" s="2" t="s">
        <v>58</v>
      </c>
      <c r="C281" s="2" t="str">
        <f t="shared" si="35"/>
        <v>Total Personal Income</v>
      </c>
      <c r="D281" s="2" t="str">
        <f t="shared" si="36"/>
        <v>Total Personal Income</v>
      </c>
      <c r="E281" s="2" t="str">
        <f t="shared" si="37"/>
        <v>Monthly</v>
      </c>
      <c r="F281" s="1" t="str">
        <f t="shared" si="34"/>
        <v>NJOTOT</v>
      </c>
      <c r="G281" s="2" t="str">
        <f t="shared" si="40"/>
        <v>FRED/NJOTOT</v>
      </c>
      <c r="I281" s="1" t="s">
        <v>57</v>
      </c>
      <c r="J281" s="2" t="str">
        <f t="shared" si="38"/>
        <v>OTOT</v>
      </c>
    </row>
    <row r="282" spans="1:10" x14ac:dyDescent="0.3">
      <c r="A282" s="2" t="str">
        <f t="shared" si="39"/>
        <v>New Mexico-Total Personal Income</v>
      </c>
      <c r="B282" s="2" t="s">
        <v>60</v>
      </c>
      <c r="C282" s="2" t="str">
        <f t="shared" si="35"/>
        <v>Total Personal Income</v>
      </c>
      <c r="D282" s="2" t="str">
        <f t="shared" si="36"/>
        <v>Total Personal Income</v>
      </c>
      <c r="E282" s="2" t="str">
        <f t="shared" si="37"/>
        <v>Monthly</v>
      </c>
      <c r="F282" s="1" t="str">
        <f t="shared" si="34"/>
        <v>NMOTOT</v>
      </c>
      <c r="G282" s="2" t="str">
        <f t="shared" si="40"/>
        <v>FRED/NMOTOT</v>
      </c>
      <c r="I282" s="1" t="s">
        <v>59</v>
      </c>
      <c r="J282" s="2" t="str">
        <f t="shared" si="38"/>
        <v>OTOT</v>
      </c>
    </row>
    <row r="283" spans="1:10" x14ac:dyDescent="0.3">
      <c r="A283" s="2" t="str">
        <f t="shared" si="39"/>
        <v>New York-Total Personal Income</v>
      </c>
      <c r="B283" s="2" t="s">
        <v>62</v>
      </c>
      <c r="C283" s="2" t="str">
        <f t="shared" si="35"/>
        <v>Total Personal Income</v>
      </c>
      <c r="D283" s="2" t="str">
        <f t="shared" si="36"/>
        <v>Total Personal Income</v>
      </c>
      <c r="E283" s="2" t="str">
        <f t="shared" si="37"/>
        <v>Monthly</v>
      </c>
      <c r="F283" s="1" t="str">
        <f t="shared" si="34"/>
        <v>NYOTOT</v>
      </c>
      <c r="G283" s="2" t="str">
        <f t="shared" si="40"/>
        <v>FRED/NYOTOT</v>
      </c>
      <c r="I283" s="1" t="s">
        <v>61</v>
      </c>
      <c r="J283" s="2" t="str">
        <f t="shared" si="38"/>
        <v>OTOT</v>
      </c>
    </row>
    <row r="284" spans="1:10" x14ac:dyDescent="0.3">
      <c r="A284" s="2" t="str">
        <f t="shared" si="39"/>
        <v>North Carolina-Total Personal Income</v>
      </c>
      <c r="B284" s="2" t="s">
        <v>64</v>
      </c>
      <c r="C284" s="2" t="str">
        <f t="shared" si="35"/>
        <v>Total Personal Income</v>
      </c>
      <c r="D284" s="2" t="str">
        <f t="shared" si="36"/>
        <v>Total Personal Income</v>
      </c>
      <c r="E284" s="2" t="str">
        <f t="shared" si="37"/>
        <v>Monthly</v>
      </c>
      <c r="F284" s="1" t="str">
        <f t="shared" si="34"/>
        <v>NCOTOT</v>
      </c>
      <c r="G284" s="2" t="str">
        <f t="shared" si="40"/>
        <v>FRED/NCOTOT</v>
      </c>
      <c r="I284" s="1" t="s">
        <v>63</v>
      </c>
      <c r="J284" s="2" t="str">
        <f t="shared" si="38"/>
        <v>OTOT</v>
      </c>
    </row>
    <row r="285" spans="1:10" x14ac:dyDescent="0.3">
      <c r="A285" s="2" t="str">
        <f t="shared" si="39"/>
        <v>North Dakota-Total Personal Income</v>
      </c>
      <c r="B285" s="2" t="s">
        <v>66</v>
      </c>
      <c r="C285" s="2" t="str">
        <f t="shared" si="35"/>
        <v>Total Personal Income</v>
      </c>
      <c r="D285" s="2" t="str">
        <f t="shared" si="36"/>
        <v>Total Personal Income</v>
      </c>
      <c r="E285" s="2" t="str">
        <f t="shared" si="37"/>
        <v>Monthly</v>
      </c>
      <c r="F285" s="1" t="str">
        <f t="shared" si="34"/>
        <v>NDOTOT</v>
      </c>
      <c r="G285" s="2" t="str">
        <f t="shared" si="40"/>
        <v>FRED/NDOTOT</v>
      </c>
      <c r="I285" s="1" t="s">
        <v>65</v>
      </c>
      <c r="J285" s="2" t="str">
        <f t="shared" si="38"/>
        <v>OTOT</v>
      </c>
    </row>
    <row r="286" spans="1:10" x14ac:dyDescent="0.3">
      <c r="A286" s="2" t="str">
        <f t="shared" si="39"/>
        <v>Ohio-Total Personal Income</v>
      </c>
      <c r="B286" s="2" t="s">
        <v>68</v>
      </c>
      <c r="C286" s="2" t="str">
        <f t="shared" si="35"/>
        <v>Total Personal Income</v>
      </c>
      <c r="D286" s="2" t="str">
        <f t="shared" si="36"/>
        <v>Total Personal Income</v>
      </c>
      <c r="E286" s="2" t="str">
        <f t="shared" si="37"/>
        <v>Monthly</v>
      </c>
      <c r="F286" s="1" t="str">
        <f t="shared" si="34"/>
        <v>OHOTOT</v>
      </c>
      <c r="G286" s="2" t="str">
        <f t="shared" si="40"/>
        <v>FRED/OHOTOT</v>
      </c>
      <c r="I286" s="1" t="s">
        <v>67</v>
      </c>
      <c r="J286" s="2" t="str">
        <f t="shared" si="38"/>
        <v>OTOT</v>
      </c>
    </row>
    <row r="287" spans="1:10" x14ac:dyDescent="0.3">
      <c r="A287" s="2" t="str">
        <f t="shared" si="39"/>
        <v>Oklahoma-Total Personal Income</v>
      </c>
      <c r="B287" s="2" t="s">
        <v>70</v>
      </c>
      <c r="C287" s="2" t="str">
        <f t="shared" si="35"/>
        <v>Total Personal Income</v>
      </c>
      <c r="D287" s="2" t="str">
        <f t="shared" si="36"/>
        <v>Total Personal Income</v>
      </c>
      <c r="E287" s="2" t="str">
        <f t="shared" si="37"/>
        <v>Monthly</v>
      </c>
      <c r="F287" s="1" t="str">
        <f t="shared" si="34"/>
        <v>OKOTOT</v>
      </c>
      <c r="G287" s="2" t="str">
        <f t="shared" si="40"/>
        <v>FRED/OKOTOT</v>
      </c>
      <c r="I287" s="1" t="s">
        <v>69</v>
      </c>
      <c r="J287" s="2" t="str">
        <f t="shared" si="38"/>
        <v>OTOT</v>
      </c>
    </row>
    <row r="288" spans="1:10" x14ac:dyDescent="0.3">
      <c r="A288" s="2" t="str">
        <f t="shared" si="39"/>
        <v>Oregon-Total Personal Income</v>
      </c>
      <c r="B288" s="2" t="s">
        <v>72</v>
      </c>
      <c r="C288" s="2" t="str">
        <f t="shared" si="35"/>
        <v>Total Personal Income</v>
      </c>
      <c r="D288" s="2" t="str">
        <f t="shared" si="36"/>
        <v>Total Personal Income</v>
      </c>
      <c r="E288" s="2" t="str">
        <f t="shared" si="37"/>
        <v>Monthly</v>
      </c>
      <c r="F288" s="1" t="str">
        <f t="shared" si="34"/>
        <v>OROTOT</v>
      </c>
      <c r="G288" s="2" t="str">
        <f t="shared" si="40"/>
        <v>FRED/OROTOT</v>
      </c>
      <c r="I288" s="1" t="s">
        <v>71</v>
      </c>
      <c r="J288" s="2" t="str">
        <f t="shared" si="38"/>
        <v>OTOT</v>
      </c>
    </row>
    <row r="289" spans="1:10" x14ac:dyDescent="0.3">
      <c r="A289" s="2" t="str">
        <f t="shared" si="39"/>
        <v>Pennsylvania-Total Personal Income</v>
      </c>
      <c r="B289" s="2" t="s">
        <v>74</v>
      </c>
      <c r="C289" s="2" t="str">
        <f t="shared" si="35"/>
        <v>Total Personal Income</v>
      </c>
      <c r="D289" s="2" t="str">
        <f t="shared" si="36"/>
        <v>Total Personal Income</v>
      </c>
      <c r="E289" s="2" t="str">
        <f t="shared" si="37"/>
        <v>Monthly</v>
      </c>
      <c r="F289" s="1" t="str">
        <f t="shared" si="34"/>
        <v>PAOTOT</v>
      </c>
      <c r="G289" s="2" t="str">
        <f t="shared" si="40"/>
        <v>FRED/PAOTOT</v>
      </c>
      <c r="I289" s="1" t="s">
        <v>73</v>
      </c>
      <c r="J289" s="2" t="str">
        <f t="shared" si="38"/>
        <v>OTOT</v>
      </c>
    </row>
    <row r="290" spans="1:10" x14ac:dyDescent="0.3">
      <c r="A290" s="2" t="str">
        <f t="shared" si="39"/>
        <v>Rhode Island-Total Personal Income</v>
      </c>
      <c r="B290" s="2" t="s">
        <v>76</v>
      </c>
      <c r="C290" s="2" t="str">
        <f t="shared" si="35"/>
        <v>Total Personal Income</v>
      </c>
      <c r="D290" s="2" t="str">
        <f t="shared" si="36"/>
        <v>Total Personal Income</v>
      </c>
      <c r="E290" s="2" t="str">
        <f t="shared" si="37"/>
        <v>Monthly</v>
      </c>
      <c r="F290" s="1" t="str">
        <f t="shared" si="34"/>
        <v>RIOTOT</v>
      </c>
      <c r="G290" s="2" t="str">
        <f t="shared" si="40"/>
        <v>FRED/RIOTOT</v>
      </c>
      <c r="I290" s="1" t="s">
        <v>75</v>
      </c>
      <c r="J290" s="2" t="str">
        <f t="shared" si="38"/>
        <v>OTOT</v>
      </c>
    </row>
    <row r="291" spans="1:10" x14ac:dyDescent="0.3">
      <c r="A291" s="2" t="str">
        <f t="shared" si="39"/>
        <v>South Carolina-Total Personal Income</v>
      </c>
      <c r="B291" s="2" t="s">
        <v>78</v>
      </c>
      <c r="C291" s="2" t="str">
        <f t="shared" si="35"/>
        <v>Total Personal Income</v>
      </c>
      <c r="D291" s="2" t="str">
        <f t="shared" si="36"/>
        <v>Total Personal Income</v>
      </c>
      <c r="E291" s="2" t="str">
        <f t="shared" si="37"/>
        <v>Monthly</v>
      </c>
      <c r="F291" s="1" t="str">
        <f t="shared" si="34"/>
        <v>SCOTOT</v>
      </c>
      <c r="G291" s="2" t="str">
        <f t="shared" si="40"/>
        <v>FRED/SCOTOT</v>
      </c>
      <c r="I291" s="1" t="s">
        <v>77</v>
      </c>
      <c r="J291" s="2" t="str">
        <f t="shared" si="38"/>
        <v>OTOT</v>
      </c>
    </row>
    <row r="292" spans="1:10" x14ac:dyDescent="0.3">
      <c r="A292" s="2" t="str">
        <f t="shared" si="39"/>
        <v>South Dakota-Total Personal Income</v>
      </c>
      <c r="B292" s="2" t="s">
        <v>80</v>
      </c>
      <c r="C292" s="2" t="str">
        <f t="shared" si="35"/>
        <v>Total Personal Income</v>
      </c>
      <c r="D292" s="2" t="str">
        <f t="shared" si="36"/>
        <v>Total Personal Income</v>
      </c>
      <c r="E292" s="2" t="str">
        <f t="shared" si="37"/>
        <v>Monthly</v>
      </c>
      <c r="F292" s="1" t="str">
        <f t="shared" si="34"/>
        <v>SDOTOT</v>
      </c>
      <c r="G292" s="2" t="str">
        <f t="shared" si="40"/>
        <v>FRED/SDOTOT</v>
      </c>
      <c r="I292" s="1" t="s">
        <v>79</v>
      </c>
      <c r="J292" s="2" t="str">
        <f t="shared" si="38"/>
        <v>OTOT</v>
      </c>
    </row>
    <row r="293" spans="1:10" x14ac:dyDescent="0.3">
      <c r="A293" s="2" t="str">
        <f t="shared" si="39"/>
        <v>Tennessee-Total Personal Income</v>
      </c>
      <c r="B293" s="2" t="s">
        <v>82</v>
      </c>
      <c r="C293" s="2" t="str">
        <f t="shared" si="35"/>
        <v>Total Personal Income</v>
      </c>
      <c r="D293" s="2" t="str">
        <f t="shared" si="36"/>
        <v>Total Personal Income</v>
      </c>
      <c r="E293" s="2" t="str">
        <f t="shared" si="37"/>
        <v>Monthly</v>
      </c>
      <c r="F293" s="1" t="str">
        <f t="shared" si="34"/>
        <v>TNOTOT</v>
      </c>
      <c r="G293" s="2" t="str">
        <f t="shared" si="40"/>
        <v>FRED/TNOTOT</v>
      </c>
      <c r="I293" s="1" t="s">
        <v>81</v>
      </c>
      <c r="J293" s="2" t="str">
        <f t="shared" si="38"/>
        <v>OTOT</v>
      </c>
    </row>
    <row r="294" spans="1:10" x14ac:dyDescent="0.3">
      <c r="A294" s="2" t="str">
        <f t="shared" si="39"/>
        <v>Texas-Total Personal Income</v>
      </c>
      <c r="B294" s="2" t="s">
        <v>84</v>
      </c>
      <c r="C294" s="2" t="str">
        <f t="shared" si="35"/>
        <v>Total Personal Income</v>
      </c>
      <c r="D294" s="2" t="str">
        <f t="shared" si="36"/>
        <v>Total Personal Income</v>
      </c>
      <c r="E294" s="2" t="str">
        <f t="shared" si="37"/>
        <v>Monthly</v>
      </c>
      <c r="F294" s="1" t="str">
        <f t="shared" si="34"/>
        <v>TXOTOT</v>
      </c>
      <c r="G294" s="2" t="str">
        <f t="shared" si="40"/>
        <v>FRED/TXOTOT</v>
      </c>
      <c r="I294" s="1" t="s">
        <v>83</v>
      </c>
      <c r="J294" s="2" t="str">
        <f t="shared" si="38"/>
        <v>OTOT</v>
      </c>
    </row>
    <row r="295" spans="1:10" x14ac:dyDescent="0.3">
      <c r="A295" s="2" t="str">
        <f t="shared" si="39"/>
        <v>Utah-Total Personal Income</v>
      </c>
      <c r="B295" s="2" t="s">
        <v>86</v>
      </c>
      <c r="C295" s="2" t="str">
        <f t="shared" si="35"/>
        <v>Total Personal Income</v>
      </c>
      <c r="D295" s="2" t="str">
        <f t="shared" si="36"/>
        <v>Total Personal Income</v>
      </c>
      <c r="E295" s="2" t="str">
        <f t="shared" si="37"/>
        <v>Monthly</v>
      </c>
      <c r="F295" s="1" t="str">
        <f t="shared" si="34"/>
        <v>UTOTOT</v>
      </c>
      <c r="G295" s="2" t="str">
        <f t="shared" si="40"/>
        <v>FRED/UTOTOT</v>
      </c>
      <c r="I295" s="1" t="s">
        <v>85</v>
      </c>
      <c r="J295" s="2" t="str">
        <f t="shared" si="38"/>
        <v>OTOT</v>
      </c>
    </row>
    <row r="296" spans="1:10" x14ac:dyDescent="0.3">
      <c r="A296" s="2" t="str">
        <f t="shared" si="39"/>
        <v>Vermont-Total Personal Income</v>
      </c>
      <c r="B296" s="2" t="s">
        <v>88</v>
      </c>
      <c r="C296" s="2" t="str">
        <f t="shared" si="35"/>
        <v>Total Personal Income</v>
      </c>
      <c r="D296" s="2" t="str">
        <f t="shared" si="36"/>
        <v>Total Personal Income</v>
      </c>
      <c r="E296" s="2" t="str">
        <f t="shared" si="37"/>
        <v>Monthly</v>
      </c>
      <c r="F296" s="1" t="str">
        <f t="shared" si="34"/>
        <v>VTOTOT</v>
      </c>
      <c r="G296" s="2" t="str">
        <f t="shared" si="40"/>
        <v>FRED/VTOTOT</v>
      </c>
      <c r="I296" s="1" t="s">
        <v>87</v>
      </c>
      <c r="J296" s="2" t="str">
        <f t="shared" si="38"/>
        <v>OTOT</v>
      </c>
    </row>
    <row r="297" spans="1:10" x14ac:dyDescent="0.3">
      <c r="A297" s="2" t="str">
        <f t="shared" si="39"/>
        <v>Virginia-Total Personal Income</v>
      </c>
      <c r="B297" s="2" t="s">
        <v>90</v>
      </c>
      <c r="C297" s="2" t="str">
        <f t="shared" si="35"/>
        <v>Total Personal Income</v>
      </c>
      <c r="D297" s="2" t="str">
        <f t="shared" si="36"/>
        <v>Total Personal Income</v>
      </c>
      <c r="E297" s="2" t="str">
        <f t="shared" si="37"/>
        <v>Monthly</v>
      </c>
      <c r="F297" s="1" t="str">
        <f t="shared" si="34"/>
        <v>VAOTOT</v>
      </c>
      <c r="G297" s="2" t="str">
        <f t="shared" si="40"/>
        <v>FRED/VAOTOT</v>
      </c>
      <c r="I297" s="1" t="s">
        <v>89</v>
      </c>
      <c r="J297" s="2" t="str">
        <f t="shared" si="38"/>
        <v>OTOT</v>
      </c>
    </row>
    <row r="298" spans="1:10" x14ac:dyDescent="0.3">
      <c r="A298" s="2" t="str">
        <f t="shared" si="39"/>
        <v>Washington-Total Personal Income</v>
      </c>
      <c r="B298" s="2" t="s">
        <v>92</v>
      </c>
      <c r="C298" s="2" t="str">
        <f t="shared" si="35"/>
        <v>Total Personal Income</v>
      </c>
      <c r="D298" s="2" t="str">
        <f t="shared" si="36"/>
        <v>Total Personal Income</v>
      </c>
      <c r="E298" s="2" t="str">
        <f t="shared" si="37"/>
        <v>Monthly</v>
      </c>
      <c r="F298" s="1" t="str">
        <f t="shared" si="34"/>
        <v>WAOTOT</v>
      </c>
      <c r="G298" s="2" t="str">
        <f t="shared" si="40"/>
        <v>FRED/WAOTOT</v>
      </c>
      <c r="I298" s="1" t="s">
        <v>91</v>
      </c>
      <c r="J298" s="2" t="str">
        <f t="shared" si="38"/>
        <v>OTOT</v>
      </c>
    </row>
    <row r="299" spans="1:10" x14ac:dyDescent="0.3">
      <c r="A299" s="2" t="str">
        <f t="shared" si="39"/>
        <v>West Virginia-Total Personal Income</v>
      </c>
      <c r="B299" s="2" t="s">
        <v>94</v>
      </c>
      <c r="C299" s="2" t="str">
        <f t="shared" si="35"/>
        <v>Total Personal Income</v>
      </c>
      <c r="D299" s="2" t="str">
        <f t="shared" si="36"/>
        <v>Total Personal Income</v>
      </c>
      <c r="E299" s="2" t="str">
        <f t="shared" si="37"/>
        <v>Monthly</v>
      </c>
      <c r="F299" s="1" t="str">
        <f t="shared" si="34"/>
        <v>WVOTOT</v>
      </c>
      <c r="G299" s="2" t="str">
        <f t="shared" si="40"/>
        <v>FRED/WVOTOT</v>
      </c>
      <c r="I299" s="1" t="s">
        <v>93</v>
      </c>
      <c r="J299" s="2" t="str">
        <f t="shared" si="38"/>
        <v>OTOT</v>
      </c>
    </row>
    <row r="300" spans="1:10" x14ac:dyDescent="0.3">
      <c r="A300" s="2" t="str">
        <f t="shared" si="39"/>
        <v>Wisconsin-Total Personal Income</v>
      </c>
      <c r="B300" s="2" t="s">
        <v>96</v>
      </c>
      <c r="C300" s="2" t="str">
        <f t="shared" si="35"/>
        <v>Total Personal Income</v>
      </c>
      <c r="D300" s="2" t="str">
        <f t="shared" si="36"/>
        <v>Total Personal Income</v>
      </c>
      <c r="E300" s="2" t="str">
        <f t="shared" si="37"/>
        <v>Monthly</v>
      </c>
      <c r="F300" s="1" t="str">
        <f t="shared" si="34"/>
        <v>WIOTOT</v>
      </c>
      <c r="G300" s="2" t="str">
        <f t="shared" si="40"/>
        <v>FRED/WIOTOT</v>
      </c>
      <c r="I300" s="1" t="s">
        <v>95</v>
      </c>
      <c r="J300" s="2" t="str">
        <f t="shared" si="38"/>
        <v>OTOT</v>
      </c>
    </row>
    <row r="301" spans="1:10" x14ac:dyDescent="0.3">
      <c r="A301" s="2" t="str">
        <f t="shared" si="39"/>
        <v>Wyoming-Total Personal Income</v>
      </c>
      <c r="B301" s="2" t="s">
        <v>98</v>
      </c>
      <c r="C301" s="2" t="str">
        <f t="shared" si="35"/>
        <v>Total Personal Income</v>
      </c>
      <c r="D301" s="2" t="str">
        <f t="shared" si="36"/>
        <v>Total Personal Income</v>
      </c>
      <c r="E301" s="2" t="str">
        <f t="shared" si="37"/>
        <v>Monthly</v>
      </c>
      <c r="F301" s="1" t="str">
        <f t="shared" si="34"/>
        <v>WYOTOT</v>
      </c>
      <c r="G301" s="2" t="str">
        <f t="shared" si="40"/>
        <v>FRED/WYOTOT</v>
      </c>
      <c r="I301" s="1" t="s">
        <v>97</v>
      </c>
      <c r="J301" s="2" t="str">
        <f t="shared" si="38"/>
        <v>OTOT</v>
      </c>
    </row>
    <row r="302" spans="1:10" x14ac:dyDescent="0.3">
      <c r="A302" s="2" t="str">
        <f t="shared" si="39"/>
        <v>Alabama-House Price Index</v>
      </c>
      <c r="B302" s="2" t="s">
        <v>1</v>
      </c>
      <c r="C302" s="4" t="s">
        <v>578</v>
      </c>
      <c r="D302" s="4" t="s">
        <v>116</v>
      </c>
      <c r="E302" s="4" t="s">
        <v>103</v>
      </c>
      <c r="F302" s="1" t="str">
        <f>I302&amp;J302</f>
        <v>ALSTHPI</v>
      </c>
      <c r="G302" s="2" t="str">
        <f>"FRED/"&amp;F302</f>
        <v>FRED/ALSTHPI</v>
      </c>
      <c r="I302" s="1" t="s">
        <v>0</v>
      </c>
      <c r="J302" s="4" t="s">
        <v>115</v>
      </c>
    </row>
    <row r="303" spans="1:10" x14ac:dyDescent="0.3">
      <c r="A303" s="2" t="str">
        <f t="shared" si="39"/>
        <v>Alaska-House Price Index</v>
      </c>
      <c r="B303" s="2" t="s">
        <v>3</v>
      </c>
      <c r="C303" s="2" t="str">
        <f>C302</f>
        <v>House Price Index</v>
      </c>
      <c r="D303" s="2" t="str">
        <f>D302</f>
        <v>All-Transactions House Price Index</v>
      </c>
      <c r="E303" s="2" t="str">
        <f>E302</f>
        <v>Monthly</v>
      </c>
      <c r="F303" s="1" t="str">
        <f t="shared" ref="F303:F351" si="41">I303&amp;J303</f>
        <v>AKSTHPI</v>
      </c>
      <c r="G303" s="2" t="str">
        <f t="shared" ref="G303:G351" si="42">"FRED/"&amp;F303</f>
        <v>FRED/AKSTHPI</v>
      </c>
      <c r="I303" s="1" t="s">
        <v>2</v>
      </c>
      <c r="J303" s="2" t="str">
        <f>J302</f>
        <v>STHPI</v>
      </c>
    </row>
    <row r="304" spans="1:10" x14ac:dyDescent="0.3">
      <c r="A304" s="2" t="str">
        <f t="shared" si="39"/>
        <v>Arizona-House Price Index</v>
      </c>
      <c r="B304" s="2" t="s">
        <v>5</v>
      </c>
      <c r="C304" s="2" t="str">
        <f t="shared" ref="C304:C351" si="43">C303</f>
        <v>House Price Index</v>
      </c>
      <c r="D304" s="2" t="str">
        <f t="shared" ref="D304:D351" si="44">D303</f>
        <v>All-Transactions House Price Index</v>
      </c>
      <c r="E304" s="2" t="str">
        <f t="shared" ref="E304:E351" si="45">E303</f>
        <v>Monthly</v>
      </c>
      <c r="F304" s="1" t="str">
        <f t="shared" si="41"/>
        <v>AZSTHPI</v>
      </c>
      <c r="G304" s="2" t="str">
        <f t="shared" si="42"/>
        <v>FRED/AZSTHPI</v>
      </c>
      <c r="I304" s="1" t="s">
        <v>4</v>
      </c>
      <c r="J304" s="2" t="str">
        <f t="shared" ref="J304:J351" si="46">J303</f>
        <v>STHPI</v>
      </c>
    </row>
    <row r="305" spans="1:10" x14ac:dyDescent="0.3">
      <c r="A305" s="2" t="str">
        <f t="shared" si="39"/>
        <v>Arkansas-House Price Index</v>
      </c>
      <c r="B305" s="2" t="s">
        <v>7</v>
      </c>
      <c r="C305" s="2" t="str">
        <f t="shared" si="43"/>
        <v>House Price Index</v>
      </c>
      <c r="D305" s="2" t="str">
        <f t="shared" si="44"/>
        <v>All-Transactions House Price Index</v>
      </c>
      <c r="E305" s="2" t="str">
        <f t="shared" si="45"/>
        <v>Monthly</v>
      </c>
      <c r="F305" s="1" t="str">
        <f t="shared" si="41"/>
        <v>ARSTHPI</v>
      </c>
      <c r="G305" s="2" t="str">
        <f t="shared" si="42"/>
        <v>FRED/ARSTHPI</v>
      </c>
      <c r="I305" s="1" t="s">
        <v>6</v>
      </c>
      <c r="J305" s="2" t="str">
        <f t="shared" si="46"/>
        <v>STHPI</v>
      </c>
    </row>
    <row r="306" spans="1:10" x14ac:dyDescent="0.3">
      <c r="A306" s="2" t="str">
        <f t="shared" si="39"/>
        <v>California-House Price Index</v>
      </c>
      <c r="B306" s="2" t="s">
        <v>124</v>
      </c>
      <c r="C306" s="2" t="str">
        <f t="shared" si="43"/>
        <v>House Price Index</v>
      </c>
      <c r="D306" s="2" t="str">
        <f t="shared" si="44"/>
        <v>All-Transactions House Price Index</v>
      </c>
      <c r="E306" s="2" t="str">
        <f t="shared" si="45"/>
        <v>Monthly</v>
      </c>
      <c r="F306" s="1" t="str">
        <f t="shared" si="41"/>
        <v>CASTHPI</v>
      </c>
      <c r="G306" s="2" t="str">
        <f t="shared" si="42"/>
        <v>FRED/CASTHPI</v>
      </c>
      <c r="I306" s="1" t="s">
        <v>8</v>
      </c>
      <c r="J306" s="2" t="str">
        <f t="shared" si="46"/>
        <v>STHPI</v>
      </c>
    </row>
    <row r="307" spans="1:10" x14ac:dyDescent="0.3">
      <c r="A307" s="2" t="str">
        <f t="shared" si="39"/>
        <v>Colorado-House Price Index</v>
      </c>
      <c r="B307" s="2" t="s">
        <v>10</v>
      </c>
      <c r="C307" s="2" t="str">
        <f t="shared" si="43"/>
        <v>House Price Index</v>
      </c>
      <c r="D307" s="2" t="str">
        <f t="shared" si="44"/>
        <v>All-Transactions House Price Index</v>
      </c>
      <c r="E307" s="2" t="str">
        <f t="shared" si="45"/>
        <v>Monthly</v>
      </c>
      <c r="F307" s="1" t="str">
        <f t="shared" si="41"/>
        <v>COSTHPI</v>
      </c>
      <c r="G307" s="2" t="str">
        <f t="shared" si="42"/>
        <v>FRED/COSTHPI</v>
      </c>
      <c r="I307" s="1" t="s">
        <v>9</v>
      </c>
      <c r="J307" s="2" t="str">
        <f t="shared" si="46"/>
        <v>STHPI</v>
      </c>
    </row>
    <row r="308" spans="1:10" x14ac:dyDescent="0.3">
      <c r="A308" s="2" t="str">
        <f t="shared" si="39"/>
        <v>Connecticut-House Price Index</v>
      </c>
      <c r="B308" s="2" t="s">
        <v>12</v>
      </c>
      <c r="C308" s="2" t="str">
        <f t="shared" si="43"/>
        <v>House Price Index</v>
      </c>
      <c r="D308" s="2" t="str">
        <f t="shared" si="44"/>
        <v>All-Transactions House Price Index</v>
      </c>
      <c r="E308" s="2" t="str">
        <f t="shared" si="45"/>
        <v>Monthly</v>
      </c>
      <c r="F308" s="1" t="str">
        <f t="shared" si="41"/>
        <v>CTSTHPI</v>
      </c>
      <c r="G308" s="2" t="str">
        <f t="shared" si="42"/>
        <v>FRED/CTSTHPI</v>
      </c>
      <c r="I308" s="1" t="s">
        <v>11</v>
      </c>
      <c r="J308" s="2" t="str">
        <f t="shared" si="46"/>
        <v>STHPI</v>
      </c>
    </row>
    <row r="309" spans="1:10" x14ac:dyDescent="0.3">
      <c r="A309" s="2" t="str">
        <f t="shared" si="39"/>
        <v>Delaware-House Price Index</v>
      </c>
      <c r="B309" s="2" t="s">
        <v>14</v>
      </c>
      <c r="C309" s="2" t="str">
        <f t="shared" si="43"/>
        <v>House Price Index</v>
      </c>
      <c r="D309" s="2" t="str">
        <f t="shared" si="44"/>
        <v>All-Transactions House Price Index</v>
      </c>
      <c r="E309" s="2" t="str">
        <f t="shared" si="45"/>
        <v>Monthly</v>
      </c>
      <c r="F309" s="1" t="str">
        <f t="shared" si="41"/>
        <v>DESTHPI</v>
      </c>
      <c r="G309" s="2" t="str">
        <f t="shared" si="42"/>
        <v>FRED/DESTHPI</v>
      </c>
      <c r="I309" s="1" t="s">
        <v>13</v>
      </c>
      <c r="J309" s="2" t="str">
        <f t="shared" si="46"/>
        <v>STHPI</v>
      </c>
    </row>
    <row r="310" spans="1:10" x14ac:dyDescent="0.3">
      <c r="A310" s="2" t="str">
        <f t="shared" si="39"/>
        <v>Florida-House Price Index</v>
      </c>
      <c r="B310" s="2" t="s">
        <v>16</v>
      </c>
      <c r="C310" s="2" t="str">
        <f t="shared" si="43"/>
        <v>House Price Index</v>
      </c>
      <c r="D310" s="2" t="str">
        <f t="shared" si="44"/>
        <v>All-Transactions House Price Index</v>
      </c>
      <c r="E310" s="2" t="str">
        <f t="shared" si="45"/>
        <v>Monthly</v>
      </c>
      <c r="F310" s="1" t="str">
        <f t="shared" si="41"/>
        <v>FLSTHPI</v>
      </c>
      <c r="G310" s="2" t="str">
        <f t="shared" si="42"/>
        <v>FRED/FLSTHPI</v>
      </c>
      <c r="I310" s="1" t="s">
        <v>15</v>
      </c>
      <c r="J310" s="2" t="str">
        <f t="shared" si="46"/>
        <v>STHPI</v>
      </c>
    </row>
    <row r="311" spans="1:10" x14ac:dyDescent="0.3">
      <c r="A311" s="2" t="str">
        <f t="shared" si="39"/>
        <v>Georgia-House Price Index</v>
      </c>
      <c r="B311" s="2" t="s">
        <v>18</v>
      </c>
      <c r="C311" s="2" t="str">
        <f t="shared" si="43"/>
        <v>House Price Index</v>
      </c>
      <c r="D311" s="2" t="str">
        <f t="shared" si="44"/>
        <v>All-Transactions House Price Index</v>
      </c>
      <c r="E311" s="2" t="str">
        <f t="shared" si="45"/>
        <v>Monthly</v>
      </c>
      <c r="F311" s="1" t="str">
        <f t="shared" si="41"/>
        <v>GASTHPI</v>
      </c>
      <c r="G311" s="2" t="str">
        <f t="shared" si="42"/>
        <v>FRED/GASTHPI</v>
      </c>
      <c r="I311" s="1" t="s">
        <v>17</v>
      </c>
      <c r="J311" s="2" t="str">
        <f t="shared" si="46"/>
        <v>STHPI</v>
      </c>
    </row>
    <row r="312" spans="1:10" x14ac:dyDescent="0.3">
      <c r="A312" s="2" t="str">
        <f t="shared" si="39"/>
        <v>Hawaii-House Price Index</v>
      </c>
      <c r="B312" s="2" t="s">
        <v>20</v>
      </c>
      <c r="C312" s="2" t="str">
        <f t="shared" si="43"/>
        <v>House Price Index</v>
      </c>
      <c r="D312" s="2" t="str">
        <f t="shared" si="44"/>
        <v>All-Transactions House Price Index</v>
      </c>
      <c r="E312" s="2" t="str">
        <f t="shared" si="45"/>
        <v>Monthly</v>
      </c>
      <c r="F312" s="1" t="str">
        <f t="shared" si="41"/>
        <v>HISTHPI</v>
      </c>
      <c r="G312" s="2" t="str">
        <f t="shared" si="42"/>
        <v>FRED/HISTHPI</v>
      </c>
      <c r="I312" s="1" t="s">
        <v>19</v>
      </c>
      <c r="J312" s="2" t="str">
        <f t="shared" si="46"/>
        <v>STHPI</v>
      </c>
    </row>
    <row r="313" spans="1:10" x14ac:dyDescent="0.3">
      <c r="A313" s="2" t="str">
        <f t="shared" si="39"/>
        <v>Idaho-House Price Index</v>
      </c>
      <c r="B313" s="2" t="s">
        <v>22</v>
      </c>
      <c r="C313" s="2" t="str">
        <f t="shared" si="43"/>
        <v>House Price Index</v>
      </c>
      <c r="D313" s="2" t="str">
        <f t="shared" si="44"/>
        <v>All-Transactions House Price Index</v>
      </c>
      <c r="E313" s="2" t="str">
        <f t="shared" si="45"/>
        <v>Monthly</v>
      </c>
      <c r="F313" s="1" t="str">
        <f t="shared" si="41"/>
        <v>IDSTHPI</v>
      </c>
      <c r="G313" s="2" t="str">
        <f t="shared" si="42"/>
        <v>FRED/IDSTHPI</v>
      </c>
      <c r="I313" s="1" t="s">
        <v>21</v>
      </c>
      <c r="J313" s="2" t="str">
        <f t="shared" si="46"/>
        <v>STHPI</v>
      </c>
    </row>
    <row r="314" spans="1:10" x14ac:dyDescent="0.3">
      <c r="A314" s="2" t="str">
        <f t="shared" si="39"/>
        <v>Illinois-House Price Index</v>
      </c>
      <c r="B314" s="2" t="s">
        <v>24</v>
      </c>
      <c r="C314" s="2" t="str">
        <f t="shared" si="43"/>
        <v>House Price Index</v>
      </c>
      <c r="D314" s="2" t="str">
        <f t="shared" si="44"/>
        <v>All-Transactions House Price Index</v>
      </c>
      <c r="E314" s="2" t="str">
        <f t="shared" si="45"/>
        <v>Monthly</v>
      </c>
      <c r="F314" s="1" t="str">
        <f t="shared" si="41"/>
        <v>ILSTHPI</v>
      </c>
      <c r="G314" s="2" t="str">
        <f t="shared" si="42"/>
        <v>FRED/ILSTHPI</v>
      </c>
      <c r="I314" s="1" t="s">
        <v>23</v>
      </c>
      <c r="J314" s="2" t="str">
        <f t="shared" si="46"/>
        <v>STHPI</v>
      </c>
    </row>
    <row r="315" spans="1:10" x14ac:dyDescent="0.3">
      <c r="A315" s="2" t="str">
        <f t="shared" si="39"/>
        <v>Indiana-House Price Index</v>
      </c>
      <c r="B315" s="2" t="s">
        <v>26</v>
      </c>
      <c r="C315" s="2" t="str">
        <f t="shared" si="43"/>
        <v>House Price Index</v>
      </c>
      <c r="D315" s="2" t="str">
        <f t="shared" si="44"/>
        <v>All-Transactions House Price Index</v>
      </c>
      <c r="E315" s="2" t="str">
        <f t="shared" si="45"/>
        <v>Monthly</v>
      </c>
      <c r="F315" s="1" t="str">
        <f t="shared" si="41"/>
        <v>INSTHPI</v>
      </c>
      <c r="G315" s="2" t="str">
        <f t="shared" si="42"/>
        <v>FRED/INSTHPI</v>
      </c>
      <c r="I315" s="1" t="s">
        <v>25</v>
      </c>
      <c r="J315" s="2" t="str">
        <f t="shared" si="46"/>
        <v>STHPI</v>
      </c>
    </row>
    <row r="316" spans="1:10" x14ac:dyDescent="0.3">
      <c r="A316" s="2" t="str">
        <f t="shared" si="39"/>
        <v>Iowa-House Price Index</v>
      </c>
      <c r="B316" s="2" t="s">
        <v>28</v>
      </c>
      <c r="C316" s="2" t="str">
        <f t="shared" si="43"/>
        <v>House Price Index</v>
      </c>
      <c r="D316" s="2" t="str">
        <f t="shared" si="44"/>
        <v>All-Transactions House Price Index</v>
      </c>
      <c r="E316" s="2" t="str">
        <f t="shared" si="45"/>
        <v>Monthly</v>
      </c>
      <c r="F316" s="1" t="str">
        <f t="shared" si="41"/>
        <v>IASTHPI</v>
      </c>
      <c r="G316" s="2" t="str">
        <f t="shared" si="42"/>
        <v>FRED/IASTHPI</v>
      </c>
      <c r="I316" s="1" t="s">
        <v>27</v>
      </c>
      <c r="J316" s="2" t="str">
        <f t="shared" si="46"/>
        <v>STHPI</v>
      </c>
    </row>
    <row r="317" spans="1:10" x14ac:dyDescent="0.3">
      <c r="A317" s="2" t="str">
        <f t="shared" si="39"/>
        <v>Kansas-House Price Index</v>
      </c>
      <c r="B317" s="2" t="s">
        <v>30</v>
      </c>
      <c r="C317" s="2" t="str">
        <f t="shared" si="43"/>
        <v>House Price Index</v>
      </c>
      <c r="D317" s="2" t="str">
        <f t="shared" si="44"/>
        <v>All-Transactions House Price Index</v>
      </c>
      <c r="E317" s="2" t="str">
        <f t="shared" si="45"/>
        <v>Monthly</v>
      </c>
      <c r="F317" s="1" t="str">
        <f t="shared" si="41"/>
        <v>KSSTHPI</v>
      </c>
      <c r="G317" s="2" t="str">
        <f t="shared" si="42"/>
        <v>FRED/KSSTHPI</v>
      </c>
      <c r="I317" s="1" t="s">
        <v>29</v>
      </c>
      <c r="J317" s="2" t="str">
        <f t="shared" si="46"/>
        <v>STHPI</v>
      </c>
    </row>
    <row r="318" spans="1:10" x14ac:dyDescent="0.3">
      <c r="A318" s="2" t="str">
        <f t="shared" si="39"/>
        <v>Kentucky-House Price Index</v>
      </c>
      <c r="B318" s="2" t="s">
        <v>32</v>
      </c>
      <c r="C318" s="2" t="str">
        <f t="shared" si="43"/>
        <v>House Price Index</v>
      </c>
      <c r="D318" s="2" t="str">
        <f t="shared" si="44"/>
        <v>All-Transactions House Price Index</v>
      </c>
      <c r="E318" s="2" t="str">
        <f t="shared" si="45"/>
        <v>Monthly</v>
      </c>
      <c r="F318" s="1" t="str">
        <f t="shared" si="41"/>
        <v>KYSTHPI</v>
      </c>
      <c r="G318" s="2" t="str">
        <f t="shared" si="42"/>
        <v>FRED/KYSTHPI</v>
      </c>
      <c r="I318" s="1" t="s">
        <v>31</v>
      </c>
      <c r="J318" s="2" t="str">
        <f t="shared" si="46"/>
        <v>STHPI</v>
      </c>
    </row>
    <row r="319" spans="1:10" x14ac:dyDescent="0.3">
      <c r="A319" s="2" t="str">
        <f t="shared" si="39"/>
        <v>Louisiana-House Price Index</v>
      </c>
      <c r="B319" s="2" t="s">
        <v>34</v>
      </c>
      <c r="C319" s="2" t="str">
        <f t="shared" si="43"/>
        <v>House Price Index</v>
      </c>
      <c r="D319" s="2" t="str">
        <f t="shared" si="44"/>
        <v>All-Transactions House Price Index</v>
      </c>
      <c r="E319" s="2" t="str">
        <f t="shared" si="45"/>
        <v>Monthly</v>
      </c>
      <c r="F319" s="1" t="str">
        <f t="shared" si="41"/>
        <v>LASTHPI</v>
      </c>
      <c r="G319" s="2" t="str">
        <f t="shared" si="42"/>
        <v>FRED/LASTHPI</v>
      </c>
      <c r="I319" s="1" t="s">
        <v>33</v>
      </c>
      <c r="J319" s="2" t="str">
        <f t="shared" si="46"/>
        <v>STHPI</v>
      </c>
    </row>
    <row r="320" spans="1:10" x14ac:dyDescent="0.3">
      <c r="A320" s="2" t="str">
        <f t="shared" si="39"/>
        <v>Maine-House Price Index</v>
      </c>
      <c r="B320" s="2" t="s">
        <v>36</v>
      </c>
      <c r="C320" s="2" t="str">
        <f t="shared" si="43"/>
        <v>House Price Index</v>
      </c>
      <c r="D320" s="2" t="str">
        <f t="shared" si="44"/>
        <v>All-Transactions House Price Index</v>
      </c>
      <c r="E320" s="2" t="str">
        <f t="shared" si="45"/>
        <v>Monthly</v>
      </c>
      <c r="F320" s="1" t="str">
        <f t="shared" si="41"/>
        <v>MESTHPI</v>
      </c>
      <c r="G320" s="2" t="str">
        <f t="shared" si="42"/>
        <v>FRED/MESTHPI</v>
      </c>
      <c r="I320" s="1" t="s">
        <v>35</v>
      </c>
      <c r="J320" s="2" t="str">
        <f t="shared" si="46"/>
        <v>STHPI</v>
      </c>
    </row>
    <row r="321" spans="1:10" x14ac:dyDescent="0.3">
      <c r="A321" s="2" t="str">
        <f t="shared" si="39"/>
        <v>Maryland-House Price Index</v>
      </c>
      <c r="B321" s="2" t="s">
        <v>38</v>
      </c>
      <c r="C321" s="2" t="str">
        <f t="shared" si="43"/>
        <v>House Price Index</v>
      </c>
      <c r="D321" s="2" t="str">
        <f t="shared" si="44"/>
        <v>All-Transactions House Price Index</v>
      </c>
      <c r="E321" s="2" t="str">
        <f t="shared" si="45"/>
        <v>Monthly</v>
      </c>
      <c r="F321" s="1" t="str">
        <f t="shared" si="41"/>
        <v>MDSTHPI</v>
      </c>
      <c r="G321" s="2" t="str">
        <f t="shared" si="42"/>
        <v>FRED/MDSTHPI</v>
      </c>
      <c r="I321" s="1" t="s">
        <v>37</v>
      </c>
      <c r="J321" s="2" t="str">
        <f t="shared" si="46"/>
        <v>STHPI</v>
      </c>
    </row>
    <row r="322" spans="1:10" x14ac:dyDescent="0.3">
      <c r="A322" s="2" t="str">
        <f t="shared" si="39"/>
        <v>Massachusetts-House Price Index</v>
      </c>
      <c r="B322" s="2" t="s">
        <v>40</v>
      </c>
      <c r="C322" s="2" t="str">
        <f t="shared" si="43"/>
        <v>House Price Index</v>
      </c>
      <c r="D322" s="2" t="str">
        <f t="shared" si="44"/>
        <v>All-Transactions House Price Index</v>
      </c>
      <c r="E322" s="2" t="str">
        <f t="shared" si="45"/>
        <v>Monthly</v>
      </c>
      <c r="F322" s="1" t="str">
        <f t="shared" si="41"/>
        <v>MASTHPI</v>
      </c>
      <c r="G322" s="2" t="str">
        <f t="shared" si="42"/>
        <v>FRED/MASTHPI</v>
      </c>
      <c r="I322" s="1" t="s">
        <v>39</v>
      </c>
      <c r="J322" s="2" t="str">
        <f t="shared" si="46"/>
        <v>STHPI</v>
      </c>
    </row>
    <row r="323" spans="1:10" x14ac:dyDescent="0.3">
      <c r="A323" s="2" t="str">
        <f t="shared" ref="A323:A386" si="47">B323&amp;"-"&amp;C323</f>
        <v>Michigan-House Price Index</v>
      </c>
      <c r="B323" s="2" t="s">
        <v>42</v>
      </c>
      <c r="C323" s="2" t="str">
        <f t="shared" si="43"/>
        <v>House Price Index</v>
      </c>
      <c r="D323" s="2" t="str">
        <f t="shared" si="44"/>
        <v>All-Transactions House Price Index</v>
      </c>
      <c r="E323" s="2" t="str">
        <f t="shared" si="45"/>
        <v>Monthly</v>
      </c>
      <c r="F323" s="1" t="str">
        <f t="shared" si="41"/>
        <v>MISTHPI</v>
      </c>
      <c r="G323" s="2" t="str">
        <f t="shared" si="42"/>
        <v>FRED/MISTHPI</v>
      </c>
      <c r="I323" s="1" t="s">
        <v>41</v>
      </c>
      <c r="J323" s="2" t="str">
        <f t="shared" si="46"/>
        <v>STHPI</v>
      </c>
    </row>
    <row r="324" spans="1:10" x14ac:dyDescent="0.3">
      <c r="A324" s="2" t="str">
        <f t="shared" si="47"/>
        <v>Minnesota-House Price Index</v>
      </c>
      <c r="B324" s="2" t="s">
        <v>44</v>
      </c>
      <c r="C324" s="2" t="str">
        <f t="shared" si="43"/>
        <v>House Price Index</v>
      </c>
      <c r="D324" s="2" t="str">
        <f t="shared" si="44"/>
        <v>All-Transactions House Price Index</v>
      </c>
      <c r="E324" s="2" t="str">
        <f t="shared" si="45"/>
        <v>Monthly</v>
      </c>
      <c r="F324" s="1" t="str">
        <f t="shared" si="41"/>
        <v>MNSTHPI</v>
      </c>
      <c r="G324" s="2" t="str">
        <f t="shared" si="42"/>
        <v>FRED/MNSTHPI</v>
      </c>
      <c r="I324" s="1" t="s">
        <v>43</v>
      </c>
      <c r="J324" s="2" t="str">
        <f t="shared" si="46"/>
        <v>STHPI</v>
      </c>
    </row>
    <row r="325" spans="1:10" x14ac:dyDescent="0.3">
      <c r="A325" s="2" t="str">
        <f t="shared" si="47"/>
        <v>Mississippi-House Price Index</v>
      </c>
      <c r="B325" s="2" t="s">
        <v>46</v>
      </c>
      <c r="C325" s="2" t="str">
        <f t="shared" si="43"/>
        <v>House Price Index</v>
      </c>
      <c r="D325" s="2" t="str">
        <f t="shared" si="44"/>
        <v>All-Transactions House Price Index</v>
      </c>
      <c r="E325" s="2" t="str">
        <f t="shared" si="45"/>
        <v>Monthly</v>
      </c>
      <c r="F325" s="1" t="str">
        <f t="shared" si="41"/>
        <v>MSSTHPI</v>
      </c>
      <c r="G325" s="2" t="str">
        <f t="shared" si="42"/>
        <v>FRED/MSSTHPI</v>
      </c>
      <c r="I325" s="1" t="s">
        <v>45</v>
      </c>
      <c r="J325" s="2" t="str">
        <f t="shared" si="46"/>
        <v>STHPI</v>
      </c>
    </row>
    <row r="326" spans="1:10" x14ac:dyDescent="0.3">
      <c r="A326" s="2" t="str">
        <f t="shared" si="47"/>
        <v>Missouri-House Price Index</v>
      </c>
      <c r="B326" s="2" t="s">
        <v>48</v>
      </c>
      <c r="C326" s="2" t="str">
        <f t="shared" si="43"/>
        <v>House Price Index</v>
      </c>
      <c r="D326" s="2" t="str">
        <f t="shared" si="44"/>
        <v>All-Transactions House Price Index</v>
      </c>
      <c r="E326" s="2" t="str">
        <f t="shared" si="45"/>
        <v>Monthly</v>
      </c>
      <c r="F326" s="1" t="str">
        <f t="shared" si="41"/>
        <v>MOSTHPI</v>
      </c>
      <c r="G326" s="2" t="str">
        <f t="shared" si="42"/>
        <v>FRED/MOSTHPI</v>
      </c>
      <c r="I326" s="1" t="s">
        <v>47</v>
      </c>
      <c r="J326" s="2" t="str">
        <f t="shared" si="46"/>
        <v>STHPI</v>
      </c>
    </row>
    <row r="327" spans="1:10" x14ac:dyDescent="0.3">
      <c r="A327" s="2" t="str">
        <f t="shared" si="47"/>
        <v>Montana-House Price Index</v>
      </c>
      <c r="B327" s="2" t="s">
        <v>50</v>
      </c>
      <c r="C327" s="2" t="str">
        <f t="shared" si="43"/>
        <v>House Price Index</v>
      </c>
      <c r="D327" s="2" t="str">
        <f t="shared" si="44"/>
        <v>All-Transactions House Price Index</v>
      </c>
      <c r="E327" s="2" t="str">
        <f t="shared" si="45"/>
        <v>Monthly</v>
      </c>
      <c r="F327" s="1" t="str">
        <f t="shared" si="41"/>
        <v>MTSTHPI</v>
      </c>
      <c r="G327" s="2" t="str">
        <f t="shared" si="42"/>
        <v>FRED/MTSTHPI</v>
      </c>
      <c r="I327" s="1" t="s">
        <v>49</v>
      </c>
      <c r="J327" s="2" t="str">
        <f t="shared" si="46"/>
        <v>STHPI</v>
      </c>
    </row>
    <row r="328" spans="1:10" x14ac:dyDescent="0.3">
      <c r="A328" s="2" t="str">
        <f t="shared" si="47"/>
        <v>Nebraska-House Price Index</v>
      </c>
      <c r="B328" s="2" t="s">
        <v>52</v>
      </c>
      <c r="C328" s="2" t="str">
        <f t="shared" si="43"/>
        <v>House Price Index</v>
      </c>
      <c r="D328" s="2" t="str">
        <f t="shared" si="44"/>
        <v>All-Transactions House Price Index</v>
      </c>
      <c r="E328" s="2" t="str">
        <f t="shared" si="45"/>
        <v>Monthly</v>
      </c>
      <c r="F328" s="1" t="str">
        <f t="shared" si="41"/>
        <v>NESTHPI</v>
      </c>
      <c r="G328" s="2" t="str">
        <f t="shared" si="42"/>
        <v>FRED/NESTHPI</v>
      </c>
      <c r="I328" s="1" t="s">
        <v>51</v>
      </c>
      <c r="J328" s="2" t="str">
        <f t="shared" si="46"/>
        <v>STHPI</v>
      </c>
    </row>
    <row r="329" spans="1:10" x14ac:dyDescent="0.3">
      <c r="A329" s="2" t="str">
        <f t="shared" si="47"/>
        <v>Nevada-House Price Index</v>
      </c>
      <c r="B329" s="2" t="s">
        <v>54</v>
      </c>
      <c r="C329" s="2" t="str">
        <f t="shared" si="43"/>
        <v>House Price Index</v>
      </c>
      <c r="D329" s="2" t="str">
        <f t="shared" si="44"/>
        <v>All-Transactions House Price Index</v>
      </c>
      <c r="E329" s="2" t="str">
        <f t="shared" si="45"/>
        <v>Monthly</v>
      </c>
      <c r="F329" s="1" t="str">
        <f t="shared" si="41"/>
        <v>NVSTHPI</v>
      </c>
      <c r="G329" s="2" t="str">
        <f t="shared" si="42"/>
        <v>FRED/NVSTHPI</v>
      </c>
      <c r="I329" s="1" t="s">
        <v>53</v>
      </c>
      <c r="J329" s="2" t="str">
        <f t="shared" si="46"/>
        <v>STHPI</v>
      </c>
    </row>
    <row r="330" spans="1:10" x14ac:dyDescent="0.3">
      <c r="A330" s="2" t="str">
        <f t="shared" si="47"/>
        <v>New Hampshire-House Price Index</v>
      </c>
      <c r="B330" s="2" t="s">
        <v>56</v>
      </c>
      <c r="C330" s="2" t="str">
        <f t="shared" si="43"/>
        <v>House Price Index</v>
      </c>
      <c r="D330" s="2" t="str">
        <f t="shared" si="44"/>
        <v>All-Transactions House Price Index</v>
      </c>
      <c r="E330" s="2" t="str">
        <f t="shared" si="45"/>
        <v>Monthly</v>
      </c>
      <c r="F330" s="1" t="str">
        <f t="shared" si="41"/>
        <v>NHSTHPI</v>
      </c>
      <c r="G330" s="2" t="str">
        <f t="shared" si="42"/>
        <v>FRED/NHSTHPI</v>
      </c>
      <c r="I330" s="1" t="s">
        <v>55</v>
      </c>
      <c r="J330" s="2" t="str">
        <f t="shared" si="46"/>
        <v>STHPI</v>
      </c>
    </row>
    <row r="331" spans="1:10" x14ac:dyDescent="0.3">
      <c r="A331" s="2" t="str">
        <f t="shared" si="47"/>
        <v>New Jersey-House Price Index</v>
      </c>
      <c r="B331" s="2" t="s">
        <v>58</v>
      </c>
      <c r="C331" s="2" t="str">
        <f t="shared" si="43"/>
        <v>House Price Index</v>
      </c>
      <c r="D331" s="2" t="str">
        <f t="shared" si="44"/>
        <v>All-Transactions House Price Index</v>
      </c>
      <c r="E331" s="2" t="str">
        <f t="shared" si="45"/>
        <v>Monthly</v>
      </c>
      <c r="F331" s="1" t="str">
        <f t="shared" si="41"/>
        <v>NJSTHPI</v>
      </c>
      <c r="G331" s="2" t="str">
        <f t="shared" si="42"/>
        <v>FRED/NJSTHPI</v>
      </c>
      <c r="I331" s="1" t="s">
        <v>57</v>
      </c>
      <c r="J331" s="2" t="str">
        <f t="shared" si="46"/>
        <v>STHPI</v>
      </c>
    </row>
    <row r="332" spans="1:10" x14ac:dyDescent="0.3">
      <c r="A332" s="2" t="str">
        <f t="shared" si="47"/>
        <v>New Mexico-House Price Index</v>
      </c>
      <c r="B332" s="2" t="s">
        <v>60</v>
      </c>
      <c r="C332" s="2" t="str">
        <f t="shared" si="43"/>
        <v>House Price Index</v>
      </c>
      <c r="D332" s="2" t="str">
        <f t="shared" si="44"/>
        <v>All-Transactions House Price Index</v>
      </c>
      <c r="E332" s="2" t="str">
        <f t="shared" si="45"/>
        <v>Monthly</v>
      </c>
      <c r="F332" s="1" t="str">
        <f t="shared" si="41"/>
        <v>NMSTHPI</v>
      </c>
      <c r="G332" s="2" t="str">
        <f t="shared" si="42"/>
        <v>FRED/NMSTHPI</v>
      </c>
      <c r="I332" s="1" t="s">
        <v>59</v>
      </c>
      <c r="J332" s="2" t="str">
        <f t="shared" si="46"/>
        <v>STHPI</v>
      </c>
    </row>
    <row r="333" spans="1:10" x14ac:dyDescent="0.3">
      <c r="A333" s="2" t="str">
        <f t="shared" si="47"/>
        <v>New York-House Price Index</v>
      </c>
      <c r="B333" s="2" t="s">
        <v>62</v>
      </c>
      <c r="C333" s="2" t="str">
        <f t="shared" si="43"/>
        <v>House Price Index</v>
      </c>
      <c r="D333" s="2" t="str">
        <f t="shared" si="44"/>
        <v>All-Transactions House Price Index</v>
      </c>
      <c r="E333" s="2" t="str">
        <f t="shared" si="45"/>
        <v>Monthly</v>
      </c>
      <c r="F333" s="1" t="str">
        <f t="shared" si="41"/>
        <v>NYSTHPI</v>
      </c>
      <c r="G333" s="2" t="str">
        <f t="shared" si="42"/>
        <v>FRED/NYSTHPI</v>
      </c>
      <c r="I333" s="1" t="s">
        <v>61</v>
      </c>
      <c r="J333" s="2" t="str">
        <f t="shared" si="46"/>
        <v>STHPI</v>
      </c>
    </row>
    <row r="334" spans="1:10" x14ac:dyDescent="0.3">
      <c r="A334" s="2" t="str">
        <f t="shared" si="47"/>
        <v>North Carolina-House Price Index</v>
      </c>
      <c r="B334" s="2" t="s">
        <v>64</v>
      </c>
      <c r="C334" s="2" t="str">
        <f t="shared" si="43"/>
        <v>House Price Index</v>
      </c>
      <c r="D334" s="2" t="str">
        <f t="shared" si="44"/>
        <v>All-Transactions House Price Index</v>
      </c>
      <c r="E334" s="2" t="str">
        <f t="shared" si="45"/>
        <v>Monthly</v>
      </c>
      <c r="F334" s="1" t="str">
        <f t="shared" si="41"/>
        <v>NCSTHPI</v>
      </c>
      <c r="G334" s="2" t="str">
        <f t="shared" si="42"/>
        <v>FRED/NCSTHPI</v>
      </c>
      <c r="I334" s="1" t="s">
        <v>63</v>
      </c>
      <c r="J334" s="2" t="str">
        <f t="shared" si="46"/>
        <v>STHPI</v>
      </c>
    </row>
    <row r="335" spans="1:10" x14ac:dyDescent="0.3">
      <c r="A335" s="2" t="str">
        <f t="shared" si="47"/>
        <v>North Dakota-House Price Index</v>
      </c>
      <c r="B335" s="2" t="s">
        <v>66</v>
      </c>
      <c r="C335" s="2" t="str">
        <f t="shared" si="43"/>
        <v>House Price Index</v>
      </c>
      <c r="D335" s="2" t="str">
        <f t="shared" si="44"/>
        <v>All-Transactions House Price Index</v>
      </c>
      <c r="E335" s="2" t="str">
        <f t="shared" si="45"/>
        <v>Monthly</v>
      </c>
      <c r="F335" s="1" t="str">
        <f t="shared" si="41"/>
        <v>NDSTHPI</v>
      </c>
      <c r="G335" s="2" t="str">
        <f t="shared" si="42"/>
        <v>FRED/NDSTHPI</v>
      </c>
      <c r="I335" s="1" t="s">
        <v>65</v>
      </c>
      <c r="J335" s="2" t="str">
        <f t="shared" si="46"/>
        <v>STHPI</v>
      </c>
    </row>
    <row r="336" spans="1:10" x14ac:dyDescent="0.3">
      <c r="A336" s="2" t="str">
        <f t="shared" si="47"/>
        <v>Ohio-House Price Index</v>
      </c>
      <c r="B336" s="2" t="s">
        <v>68</v>
      </c>
      <c r="C336" s="2" t="str">
        <f t="shared" si="43"/>
        <v>House Price Index</v>
      </c>
      <c r="D336" s="2" t="str">
        <f t="shared" si="44"/>
        <v>All-Transactions House Price Index</v>
      </c>
      <c r="E336" s="2" t="str">
        <f t="shared" si="45"/>
        <v>Monthly</v>
      </c>
      <c r="F336" s="1" t="str">
        <f t="shared" si="41"/>
        <v>OHSTHPI</v>
      </c>
      <c r="G336" s="2" t="str">
        <f t="shared" si="42"/>
        <v>FRED/OHSTHPI</v>
      </c>
      <c r="I336" s="1" t="s">
        <v>67</v>
      </c>
      <c r="J336" s="2" t="str">
        <f t="shared" si="46"/>
        <v>STHPI</v>
      </c>
    </row>
    <row r="337" spans="1:10" x14ac:dyDescent="0.3">
      <c r="A337" s="2" t="str">
        <f t="shared" si="47"/>
        <v>Oklahoma-House Price Index</v>
      </c>
      <c r="B337" s="2" t="s">
        <v>70</v>
      </c>
      <c r="C337" s="2" t="str">
        <f t="shared" si="43"/>
        <v>House Price Index</v>
      </c>
      <c r="D337" s="2" t="str">
        <f t="shared" si="44"/>
        <v>All-Transactions House Price Index</v>
      </c>
      <c r="E337" s="2" t="str">
        <f t="shared" si="45"/>
        <v>Monthly</v>
      </c>
      <c r="F337" s="1" t="str">
        <f t="shared" si="41"/>
        <v>OKSTHPI</v>
      </c>
      <c r="G337" s="2" t="str">
        <f t="shared" si="42"/>
        <v>FRED/OKSTHPI</v>
      </c>
      <c r="I337" s="1" t="s">
        <v>69</v>
      </c>
      <c r="J337" s="2" t="str">
        <f t="shared" si="46"/>
        <v>STHPI</v>
      </c>
    </row>
    <row r="338" spans="1:10" x14ac:dyDescent="0.3">
      <c r="A338" s="2" t="str">
        <f t="shared" si="47"/>
        <v>Oregon-House Price Index</v>
      </c>
      <c r="B338" s="2" t="s">
        <v>72</v>
      </c>
      <c r="C338" s="2" t="str">
        <f t="shared" si="43"/>
        <v>House Price Index</v>
      </c>
      <c r="D338" s="2" t="str">
        <f t="shared" si="44"/>
        <v>All-Transactions House Price Index</v>
      </c>
      <c r="E338" s="2" t="str">
        <f t="shared" si="45"/>
        <v>Monthly</v>
      </c>
      <c r="F338" s="1" t="str">
        <f t="shared" si="41"/>
        <v>ORSTHPI</v>
      </c>
      <c r="G338" s="2" t="str">
        <f t="shared" si="42"/>
        <v>FRED/ORSTHPI</v>
      </c>
      <c r="I338" s="1" t="s">
        <v>71</v>
      </c>
      <c r="J338" s="2" t="str">
        <f t="shared" si="46"/>
        <v>STHPI</v>
      </c>
    </row>
    <row r="339" spans="1:10" x14ac:dyDescent="0.3">
      <c r="A339" s="2" t="str">
        <f t="shared" si="47"/>
        <v>Pennsylvania-House Price Index</v>
      </c>
      <c r="B339" s="2" t="s">
        <v>74</v>
      </c>
      <c r="C339" s="2" t="str">
        <f t="shared" si="43"/>
        <v>House Price Index</v>
      </c>
      <c r="D339" s="2" t="str">
        <f t="shared" si="44"/>
        <v>All-Transactions House Price Index</v>
      </c>
      <c r="E339" s="2" t="str">
        <f t="shared" si="45"/>
        <v>Monthly</v>
      </c>
      <c r="F339" s="1" t="str">
        <f t="shared" si="41"/>
        <v>PASTHPI</v>
      </c>
      <c r="G339" s="2" t="str">
        <f t="shared" si="42"/>
        <v>FRED/PASTHPI</v>
      </c>
      <c r="I339" s="1" t="s">
        <v>73</v>
      </c>
      <c r="J339" s="2" t="str">
        <f t="shared" si="46"/>
        <v>STHPI</v>
      </c>
    </row>
    <row r="340" spans="1:10" x14ac:dyDescent="0.3">
      <c r="A340" s="2" t="str">
        <f t="shared" si="47"/>
        <v>Rhode Island-House Price Index</v>
      </c>
      <c r="B340" s="2" t="s">
        <v>76</v>
      </c>
      <c r="C340" s="2" t="str">
        <f t="shared" si="43"/>
        <v>House Price Index</v>
      </c>
      <c r="D340" s="2" t="str">
        <f t="shared" si="44"/>
        <v>All-Transactions House Price Index</v>
      </c>
      <c r="E340" s="2" t="str">
        <f t="shared" si="45"/>
        <v>Monthly</v>
      </c>
      <c r="F340" s="1" t="str">
        <f t="shared" si="41"/>
        <v>RISTHPI</v>
      </c>
      <c r="G340" s="2" t="str">
        <f t="shared" si="42"/>
        <v>FRED/RISTHPI</v>
      </c>
      <c r="I340" s="1" t="s">
        <v>75</v>
      </c>
      <c r="J340" s="2" t="str">
        <f t="shared" si="46"/>
        <v>STHPI</v>
      </c>
    </row>
    <row r="341" spans="1:10" x14ac:dyDescent="0.3">
      <c r="A341" s="2" t="str">
        <f t="shared" si="47"/>
        <v>South Carolina-House Price Index</v>
      </c>
      <c r="B341" s="2" t="s">
        <v>78</v>
      </c>
      <c r="C341" s="2" t="str">
        <f t="shared" si="43"/>
        <v>House Price Index</v>
      </c>
      <c r="D341" s="2" t="str">
        <f t="shared" si="44"/>
        <v>All-Transactions House Price Index</v>
      </c>
      <c r="E341" s="2" t="str">
        <f t="shared" si="45"/>
        <v>Monthly</v>
      </c>
      <c r="F341" s="1" t="str">
        <f t="shared" si="41"/>
        <v>SCSTHPI</v>
      </c>
      <c r="G341" s="2" t="str">
        <f t="shared" si="42"/>
        <v>FRED/SCSTHPI</v>
      </c>
      <c r="I341" s="1" t="s">
        <v>77</v>
      </c>
      <c r="J341" s="2" t="str">
        <f t="shared" si="46"/>
        <v>STHPI</v>
      </c>
    </row>
    <row r="342" spans="1:10" x14ac:dyDescent="0.3">
      <c r="A342" s="2" t="str">
        <f t="shared" si="47"/>
        <v>South Dakota-House Price Index</v>
      </c>
      <c r="B342" s="2" t="s">
        <v>80</v>
      </c>
      <c r="C342" s="2" t="str">
        <f t="shared" si="43"/>
        <v>House Price Index</v>
      </c>
      <c r="D342" s="2" t="str">
        <f t="shared" si="44"/>
        <v>All-Transactions House Price Index</v>
      </c>
      <c r="E342" s="2" t="str">
        <f t="shared" si="45"/>
        <v>Monthly</v>
      </c>
      <c r="F342" s="1" t="str">
        <f t="shared" si="41"/>
        <v>SDSTHPI</v>
      </c>
      <c r="G342" s="2" t="str">
        <f t="shared" si="42"/>
        <v>FRED/SDSTHPI</v>
      </c>
      <c r="I342" s="1" t="s">
        <v>79</v>
      </c>
      <c r="J342" s="2" t="str">
        <f t="shared" si="46"/>
        <v>STHPI</v>
      </c>
    </row>
    <row r="343" spans="1:10" x14ac:dyDescent="0.3">
      <c r="A343" s="2" t="str">
        <f t="shared" si="47"/>
        <v>Tennessee-House Price Index</v>
      </c>
      <c r="B343" s="2" t="s">
        <v>82</v>
      </c>
      <c r="C343" s="2" t="str">
        <f t="shared" si="43"/>
        <v>House Price Index</v>
      </c>
      <c r="D343" s="2" t="str">
        <f t="shared" si="44"/>
        <v>All-Transactions House Price Index</v>
      </c>
      <c r="E343" s="2" t="str">
        <f t="shared" si="45"/>
        <v>Monthly</v>
      </c>
      <c r="F343" s="1" t="str">
        <f t="shared" si="41"/>
        <v>TNSTHPI</v>
      </c>
      <c r="G343" s="2" t="str">
        <f t="shared" si="42"/>
        <v>FRED/TNSTHPI</v>
      </c>
      <c r="I343" s="1" t="s">
        <v>81</v>
      </c>
      <c r="J343" s="2" t="str">
        <f t="shared" si="46"/>
        <v>STHPI</v>
      </c>
    </row>
    <row r="344" spans="1:10" x14ac:dyDescent="0.3">
      <c r="A344" s="2" t="str">
        <f t="shared" si="47"/>
        <v>Texas-House Price Index</v>
      </c>
      <c r="B344" s="2" t="s">
        <v>84</v>
      </c>
      <c r="C344" s="2" t="str">
        <f t="shared" si="43"/>
        <v>House Price Index</v>
      </c>
      <c r="D344" s="2" t="str">
        <f t="shared" si="44"/>
        <v>All-Transactions House Price Index</v>
      </c>
      <c r="E344" s="2" t="str">
        <f t="shared" si="45"/>
        <v>Monthly</v>
      </c>
      <c r="F344" s="1" t="str">
        <f t="shared" si="41"/>
        <v>TXSTHPI</v>
      </c>
      <c r="G344" s="2" t="str">
        <f t="shared" si="42"/>
        <v>FRED/TXSTHPI</v>
      </c>
      <c r="I344" s="1" t="s">
        <v>83</v>
      </c>
      <c r="J344" s="2" t="str">
        <f t="shared" si="46"/>
        <v>STHPI</v>
      </c>
    </row>
    <row r="345" spans="1:10" x14ac:dyDescent="0.3">
      <c r="A345" s="2" t="str">
        <f t="shared" si="47"/>
        <v>Utah-House Price Index</v>
      </c>
      <c r="B345" s="2" t="s">
        <v>86</v>
      </c>
      <c r="C345" s="2" t="str">
        <f t="shared" si="43"/>
        <v>House Price Index</v>
      </c>
      <c r="D345" s="2" t="str">
        <f t="shared" si="44"/>
        <v>All-Transactions House Price Index</v>
      </c>
      <c r="E345" s="2" t="str">
        <f t="shared" si="45"/>
        <v>Monthly</v>
      </c>
      <c r="F345" s="1" t="str">
        <f t="shared" si="41"/>
        <v>UTSTHPI</v>
      </c>
      <c r="G345" s="2" t="str">
        <f t="shared" si="42"/>
        <v>FRED/UTSTHPI</v>
      </c>
      <c r="I345" s="1" t="s">
        <v>85</v>
      </c>
      <c r="J345" s="2" t="str">
        <f t="shared" si="46"/>
        <v>STHPI</v>
      </c>
    </row>
    <row r="346" spans="1:10" x14ac:dyDescent="0.3">
      <c r="A346" s="2" t="str">
        <f t="shared" si="47"/>
        <v>Vermont-House Price Index</v>
      </c>
      <c r="B346" s="2" t="s">
        <v>88</v>
      </c>
      <c r="C346" s="2" t="str">
        <f t="shared" si="43"/>
        <v>House Price Index</v>
      </c>
      <c r="D346" s="2" t="str">
        <f t="shared" si="44"/>
        <v>All-Transactions House Price Index</v>
      </c>
      <c r="E346" s="2" t="str">
        <f t="shared" si="45"/>
        <v>Monthly</v>
      </c>
      <c r="F346" s="1" t="str">
        <f t="shared" si="41"/>
        <v>VTSTHPI</v>
      </c>
      <c r="G346" s="2" t="str">
        <f t="shared" si="42"/>
        <v>FRED/VTSTHPI</v>
      </c>
      <c r="I346" s="1" t="s">
        <v>87</v>
      </c>
      <c r="J346" s="2" t="str">
        <f t="shared" si="46"/>
        <v>STHPI</v>
      </c>
    </row>
    <row r="347" spans="1:10" x14ac:dyDescent="0.3">
      <c r="A347" s="2" t="str">
        <f t="shared" si="47"/>
        <v>Virginia-House Price Index</v>
      </c>
      <c r="B347" s="2" t="s">
        <v>90</v>
      </c>
      <c r="C347" s="2" t="str">
        <f t="shared" si="43"/>
        <v>House Price Index</v>
      </c>
      <c r="D347" s="2" t="str">
        <f t="shared" si="44"/>
        <v>All-Transactions House Price Index</v>
      </c>
      <c r="E347" s="2" t="str">
        <f t="shared" si="45"/>
        <v>Monthly</v>
      </c>
      <c r="F347" s="1" t="str">
        <f t="shared" si="41"/>
        <v>VASTHPI</v>
      </c>
      <c r="G347" s="2" t="str">
        <f t="shared" si="42"/>
        <v>FRED/VASTHPI</v>
      </c>
      <c r="I347" s="1" t="s">
        <v>89</v>
      </c>
      <c r="J347" s="2" t="str">
        <f t="shared" si="46"/>
        <v>STHPI</v>
      </c>
    </row>
    <row r="348" spans="1:10" x14ac:dyDescent="0.3">
      <c r="A348" s="2" t="str">
        <f t="shared" si="47"/>
        <v>Washington-House Price Index</v>
      </c>
      <c r="B348" s="2" t="s">
        <v>92</v>
      </c>
      <c r="C348" s="2" t="str">
        <f t="shared" si="43"/>
        <v>House Price Index</v>
      </c>
      <c r="D348" s="2" t="str">
        <f t="shared" si="44"/>
        <v>All-Transactions House Price Index</v>
      </c>
      <c r="E348" s="2" t="str">
        <f t="shared" si="45"/>
        <v>Monthly</v>
      </c>
      <c r="F348" s="1" t="str">
        <f t="shared" si="41"/>
        <v>WASTHPI</v>
      </c>
      <c r="G348" s="2" t="str">
        <f t="shared" si="42"/>
        <v>FRED/WASTHPI</v>
      </c>
      <c r="I348" s="1" t="s">
        <v>91</v>
      </c>
      <c r="J348" s="2" t="str">
        <f t="shared" si="46"/>
        <v>STHPI</v>
      </c>
    </row>
    <row r="349" spans="1:10" x14ac:dyDescent="0.3">
      <c r="A349" s="2" t="str">
        <f t="shared" si="47"/>
        <v>West Virginia-House Price Index</v>
      </c>
      <c r="B349" s="2" t="s">
        <v>94</v>
      </c>
      <c r="C349" s="2" t="str">
        <f t="shared" si="43"/>
        <v>House Price Index</v>
      </c>
      <c r="D349" s="2" t="str">
        <f t="shared" si="44"/>
        <v>All-Transactions House Price Index</v>
      </c>
      <c r="E349" s="2" t="str">
        <f t="shared" si="45"/>
        <v>Monthly</v>
      </c>
      <c r="F349" s="1" t="str">
        <f t="shared" si="41"/>
        <v>WVSTHPI</v>
      </c>
      <c r="G349" s="2" t="str">
        <f t="shared" si="42"/>
        <v>FRED/WVSTHPI</v>
      </c>
      <c r="I349" s="1" t="s">
        <v>93</v>
      </c>
      <c r="J349" s="2" t="str">
        <f t="shared" si="46"/>
        <v>STHPI</v>
      </c>
    </row>
    <row r="350" spans="1:10" x14ac:dyDescent="0.3">
      <c r="A350" s="2" t="str">
        <f t="shared" si="47"/>
        <v>Wisconsin-House Price Index</v>
      </c>
      <c r="B350" s="2" t="s">
        <v>96</v>
      </c>
      <c r="C350" s="2" t="str">
        <f t="shared" si="43"/>
        <v>House Price Index</v>
      </c>
      <c r="D350" s="2" t="str">
        <f t="shared" si="44"/>
        <v>All-Transactions House Price Index</v>
      </c>
      <c r="E350" s="2" t="str">
        <f t="shared" si="45"/>
        <v>Monthly</v>
      </c>
      <c r="F350" s="1" t="str">
        <f t="shared" si="41"/>
        <v>WISTHPI</v>
      </c>
      <c r="G350" s="2" t="str">
        <f t="shared" si="42"/>
        <v>FRED/WISTHPI</v>
      </c>
      <c r="I350" s="1" t="s">
        <v>95</v>
      </c>
      <c r="J350" s="2" t="str">
        <f t="shared" si="46"/>
        <v>STHPI</v>
      </c>
    </row>
    <row r="351" spans="1:10" x14ac:dyDescent="0.3">
      <c r="A351" s="2" t="str">
        <f t="shared" si="47"/>
        <v>Wyoming-House Price Index</v>
      </c>
      <c r="B351" s="2" t="s">
        <v>98</v>
      </c>
      <c r="C351" s="2" t="str">
        <f t="shared" si="43"/>
        <v>House Price Index</v>
      </c>
      <c r="D351" s="2" t="str">
        <f t="shared" si="44"/>
        <v>All-Transactions House Price Index</v>
      </c>
      <c r="E351" s="2" t="str">
        <f t="shared" si="45"/>
        <v>Monthly</v>
      </c>
      <c r="F351" s="1" t="str">
        <f t="shared" si="41"/>
        <v>WYSTHPI</v>
      </c>
      <c r="G351" s="2" t="str">
        <f t="shared" si="42"/>
        <v>FRED/WYSTHPI</v>
      </c>
      <c r="I351" s="1" t="s">
        <v>97</v>
      </c>
      <c r="J351" s="2" t="str">
        <f t="shared" si="46"/>
        <v>STHPI</v>
      </c>
    </row>
    <row r="352" spans="1:10" x14ac:dyDescent="0.3">
      <c r="A352" s="2" t="str">
        <f t="shared" si="47"/>
        <v>Canada-Unemployment Rate</v>
      </c>
      <c r="B352" s="8" t="s">
        <v>132</v>
      </c>
      <c r="C352" s="8" t="s">
        <v>111</v>
      </c>
      <c r="D352" s="8" t="s">
        <v>111</v>
      </c>
      <c r="E352" s="8" t="s">
        <v>103</v>
      </c>
      <c r="F352" s="8"/>
      <c r="G352" s="8"/>
      <c r="H352" s="8" t="s">
        <v>613</v>
      </c>
    </row>
    <row r="353" spans="1:8" x14ac:dyDescent="0.3">
      <c r="A353" s="2" t="str">
        <f t="shared" si="47"/>
        <v>United States-Unemployment Rate</v>
      </c>
      <c r="B353" s="8" t="s">
        <v>131</v>
      </c>
      <c r="C353" s="8" t="s">
        <v>111</v>
      </c>
      <c r="D353" s="8" t="s">
        <v>111</v>
      </c>
      <c r="E353" s="8" t="s">
        <v>103</v>
      </c>
      <c r="F353" s="8"/>
      <c r="G353" s="10"/>
      <c r="H353" s="8" t="s">
        <v>602</v>
      </c>
    </row>
    <row r="354" spans="1:8" x14ac:dyDescent="0.3">
      <c r="A354" s="2" t="str">
        <f t="shared" si="47"/>
        <v>Argentina-Unemployment Rate</v>
      </c>
      <c r="B354" s="8" t="s">
        <v>159</v>
      </c>
      <c r="C354" s="8" t="s">
        <v>111</v>
      </c>
      <c r="D354" s="8" t="s">
        <v>111</v>
      </c>
      <c r="E354" s="8" t="s">
        <v>103</v>
      </c>
      <c r="F354" s="8"/>
      <c r="G354" s="8"/>
      <c r="H354" s="8" t="s">
        <v>614</v>
      </c>
    </row>
    <row r="355" spans="1:8" x14ac:dyDescent="0.3">
      <c r="A355" s="2" t="str">
        <f t="shared" si="47"/>
        <v>Barbados-Unemployment Rate</v>
      </c>
      <c r="B355" s="8" t="s">
        <v>176</v>
      </c>
      <c r="C355" s="8" t="s">
        <v>111</v>
      </c>
      <c r="D355" s="8" t="s">
        <v>111</v>
      </c>
      <c r="E355" s="8" t="s">
        <v>103</v>
      </c>
      <c r="F355" s="8"/>
      <c r="G355" s="8"/>
      <c r="H355" s="8" t="s">
        <v>615</v>
      </c>
    </row>
    <row r="356" spans="1:8" x14ac:dyDescent="0.3">
      <c r="A356" s="2" t="str">
        <f t="shared" si="47"/>
        <v>Brazil-Unemployment Rate</v>
      </c>
      <c r="B356" s="8" t="s">
        <v>196</v>
      </c>
      <c r="C356" s="8" t="s">
        <v>111</v>
      </c>
      <c r="D356" s="8" t="s">
        <v>111</v>
      </c>
      <c r="E356" s="8" t="s">
        <v>103</v>
      </c>
      <c r="F356" s="8"/>
      <c r="G356" s="8"/>
      <c r="H356" s="8" t="s">
        <v>616</v>
      </c>
    </row>
    <row r="357" spans="1:8" x14ac:dyDescent="0.3">
      <c r="A357" s="2" t="str">
        <f t="shared" si="47"/>
        <v>Chile-Unemployment Rate</v>
      </c>
      <c r="B357" s="8" t="s">
        <v>223</v>
      </c>
      <c r="C357" s="8" t="s">
        <v>111</v>
      </c>
      <c r="D357" s="8" t="s">
        <v>111</v>
      </c>
      <c r="E357" s="8" t="s">
        <v>103</v>
      </c>
      <c r="F357" s="8"/>
      <c r="G357" s="8"/>
      <c r="H357" s="8" t="s">
        <v>617</v>
      </c>
    </row>
    <row r="358" spans="1:8" x14ac:dyDescent="0.3">
      <c r="A358" s="2" t="str">
        <f t="shared" si="47"/>
        <v>Colombia-Unemployment Rate</v>
      </c>
      <c r="B358" s="8" t="s">
        <v>227</v>
      </c>
      <c r="C358" s="8" t="s">
        <v>111</v>
      </c>
      <c r="D358" s="8" t="s">
        <v>111</v>
      </c>
      <c r="E358" s="8" t="s">
        <v>103</v>
      </c>
      <c r="F358" s="8"/>
      <c r="G358" s="8"/>
      <c r="H358" s="8" t="s">
        <v>618</v>
      </c>
    </row>
    <row r="359" spans="1:8" x14ac:dyDescent="0.3">
      <c r="A359" s="2" t="str">
        <f t="shared" si="47"/>
        <v>Costa Rica-Unemployment Rate</v>
      </c>
      <c r="B359" s="8" t="s">
        <v>237</v>
      </c>
      <c r="C359" s="8" t="s">
        <v>111</v>
      </c>
      <c r="D359" s="8" t="s">
        <v>111</v>
      </c>
      <c r="E359" s="8" t="s">
        <v>103</v>
      </c>
      <c r="F359" s="8"/>
      <c r="G359" s="8"/>
      <c r="H359" s="8" t="s">
        <v>603</v>
      </c>
    </row>
    <row r="360" spans="1:8" x14ac:dyDescent="0.3">
      <c r="A360" s="2" t="str">
        <f t="shared" si="47"/>
        <v>Dominican Republic-Unemployment Rate</v>
      </c>
      <c r="B360" s="8" t="s">
        <v>257</v>
      </c>
      <c r="C360" s="8" t="s">
        <v>111</v>
      </c>
      <c r="D360" s="8" t="s">
        <v>111</v>
      </c>
      <c r="E360" s="8" t="s">
        <v>103</v>
      </c>
      <c r="F360" s="8"/>
      <c r="G360" s="8"/>
      <c r="H360" s="8" t="s">
        <v>619</v>
      </c>
    </row>
    <row r="361" spans="1:8" x14ac:dyDescent="0.3">
      <c r="A361" s="2" t="str">
        <f t="shared" si="47"/>
        <v>Ecuador-Unemployment Rate</v>
      </c>
      <c r="B361" s="8" t="s">
        <v>259</v>
      </c>
      <c r="C361" s="8" t="s">
        <v>111</v>
      </c>
      <c r="D361" s="8" t="s">
        <v>111</v>
      </c>
      <c r="E361" s="8" t="s">
        <v>103</v>
      </c>
      <c r="F361" s="8"/>
      <c r="G361" s="8"/>
      <c r="H361" s="8" t="s">
        <v>620</v>
      </c>
    </row>
    <row r="362" spans="1:8" x14ac:dyDescent="0.3">
      <c r="A362" s="2" t="str">
        <f t="shared" si="47"/>
        <v>Jamaica-Unemployment Rate</v>
      </c>
      <c r="B362" s="8" t="s">
        <v>340</v>
      </c>
      <c r="C362" s="8" t="s">
        <v>111</v>
      </c>
      <c r="D362" s="8" t="s">
        <v>111</v>
      </c>
      <c r="E362" s="8" t="s">
        <v>103</v>
      </c>
      <c r="F362" s="8"/>
      <c r="G362" s="8"/>
      <c r="H362" s="8" t="s">
        <v>621</v>
      </c>
    </row>
    <row r="363" spans="1:8" x14ac:dyDescent="0.3">
      <c r="A363" s="2" t="str">
        <f t="shared" si="47"/>
        <v>Mexico-Unemployment Rate</v>
      </c>
      <c r="B363" s="8" t="s">
        <v>402</v>
      </c>
      <c r="C363" s="8" t="s">
        <v>111</v>
      </c>
      <c r="D363" s="8" t="s">
        <v>111</v>
      </c>
      <c r="E363" s="8" t="s">
        <v>103</v>
      </c>
      <c r="F363" s="8"/>
      <c r="G363" s="8"/>
      <c r="H363" s="8" t="s">
        <v>622</v>
      </c>
    </row>
    <row r="364" spans="1:8" x14ac:dyDescent="0.3">
      <c r="A364" s="2" t="str">
        <f t="shared" si="47"/>
        <v>Peru-Unemployment Rate</v>
      </c>
      <c r="B364" s="8" t="s">
        <v>450</v>
      </c>
      <c r="C364" s="8" t="s">
        <v>111</v>
      </c>
      <c r="D364" s="8" t="s">
        <v>111</v>
      </c>
      <c r="E364" s="8" t="s">
        <v>103</v>
      </c>
      <c r="F364" s="8"/>
      <c r="G364" s="8"/>
      <c r="H364" s="8" t="s">
        <v>604</v>
      </c>
    </row>
    <row r="365" spans="1:8" x14ac:dyDescent="0.3">
      <c r="A365" s="2" t="str">
        <f t="shared" si="47"/>
        <v>Uruguay-Unemployment Rate</v>
      </c>
      <c r="B365" s="8" t="s">
        <v>556</v>
      </c>
      <c r="C365" s="8" t="s">
        <v>111</v>
      </c>
      <c r="D365" s="8" t="s">
        <v>111</v>
      </c>
      <c r="E365" s="8" t="s">
        <v>103</v>
      </c>
      <c r="F365" s="8"/>
      <c r="G365" s="8"/>
      <c r="H365" s="8" t="s">
        <v>623</v>
      </c>
    </row>
    <row r="366" spans="1:8" x14ac:dyDescent="0.3">
      <c r="A366" s="2" t="str">
        <f t="shared" si="47"/>
        <v>Venezuela-Unemployment Rate</v>
      </c>
      <c r="B366" s="8" t="s">
        <v>562</v>
      </c>
      <c r="C366" s="8" t="s">
        <v>111</v>
      </c>
      <c r="D366" s="8" t="s">
        <v>111</v>
      </c>
      <c r="E366" s="8" t="s">
        <v>103</v>
      </c>
      <c r="F366" s="8"/>
      <c r="G366" s="8"/>
      <c r="H366" s="8" t="s">
        <v>624</v>
      </c>
    </row>
    <row r="367" spans="1:8" x14ac:dyDescent="0.3">
      <c r="A367" s="2" t="str">
        <f t="shared" si="47"/>
        <v>Austria-Unemployment Rate</v>
      </c>
      <c r="B367" s="8" t="s">
        <v>166</v>
      </c>
      <c r="C367" s="8" t="s">
        <v>111</v>
      </c>
      <c r="D367" s="8" t="s">
        <v>111</v>
      </c>
      <c r="E367" s="8" t="s">
        <v>103</v>
      </c>
      <c r="F367" s="8"/>
      <c r="G367" s="8"/>
      <c r="H367" s="8" t="s">
        <v>605</v>
      </c>
    </row>
    <row r="368" spans="1:8" x14ac:dyDescent="0.3">
      <c r="A368" s="2" t="str">
        <f t="shared" si="47"/>
        <v>Belgium-Unemployment Rate</v>
      </c>
      <c r="B368" s="8" t="s">
        <v>180</v>
      </c>
      <c r="C368" s="8" t="s">
        <v>111</v>
      </c>
      <c r="D368" s="8" t="s">
        <v>111</v>
      </c>
      <c r="E368" s="8" t="s">
        <v>103</v>
      </c>
      <c r="F368" s="8"/>
      <c r="G368" s="8"/>
      <c r="H368" s="8" t="s">
        <v>606</v>
      </c>
    </row>
    <row r="369" spans="1:8" x14ac:dyDescent="0.3">
      <c r="A369" s="2" t="str">
        <f t="shared" si="47"/>
        <v>Cyprus-Unemployment Rate</v>
      </c>
      <c r="B369" s="8" t="s">
        <v>247</v>
      </c>
      <c r="C369" s="8" t="s">
        <v>111</v>
      </c>
      <c r="D369" s="8" t="s">
        <v>111</v>
      </c>
      <c r="E369" s="8" t="s">
        <v>103</v>
      </c>
      <c r="F369" s="8"/>
      <c r="G369" s="8"/>
      <c r="H369" s="8" t="s">
        <v>607</v>
      </c>
    </row>
    <row r="370" spans="1:8" x14ac:dyDescent="0.3">
      <c r="A370" s="2" t="str">
        <f t="shared" si="47"/>
        <v>Denmark-Unemployment Rate</v>
      </c>
      <c r="B370" s="8" t="s">
        <v>251</v>
      </c>
      <c r="C370" s="8" t="s">
        <v>111</v>
      </c>
      <c r="D370" s="8" t="s">
        <v>111</v>
      </c>
      <c r="E370" s="8" t="s">
        <v>103</v>
      </c>
      <c r="F370" s="8"/>
      <c r="G370" s="8"/>
      <c r="H370" s="8" t="s">
        <v>625</v>
      </c>
    </row>
    <row r="371" spans="1:8" x14ac:dyDescent="0.3">
      <c r="A371" s="2" t="str">
        <f t="shared" si="47"/>
        <v>European Union-Unemployment Rate</v>
      </c>
      <c r="B371" s="8" t="s">
        <v>626</v>
      </c>
      <c r="C371" s="8" t="s">
        <v>111</v>
      </c>
      <c r="D371" s="8" t="s">
        <v>111</v>
      </c>
      <c r="E371" s="8" t="s">
        <v>103</v>
      </c>
      <c r="F371" s="8"/>
      <c r="G371" s="8"/>
      <c r="H371" s="8" t="s">
        <v>627</v>
      </c>
    </row>
    <row r="372" spans="1:8" x14ac:dyDescent="0.3">
      <c r="A372" s="2" t="str">
        <f t="shared" si="47"/>
        <v>Eurozone-Unemployment Rate</v>
      </c>
      <c r="B372" s="8" t="s">
        <v>127</v>
      </c>
      <c r="C372" s="8" t="s">
        <v>111</v>
      </c>
      <c r="D372" s="8" t="s">
        <v>111</v>
      </c>
      <c r="E372" s="8" t="s">
        <v>103</v>
      </c>
      <c r="F372" s="8"/>
      <c r="G372" s="8"/>
      <c r="H372" s="8" t="s">
        <v>628</v>
      </c>
    </row>
    <row r="373" spans="1:8" x14ac:dyDescent="0.3">
      <c r="A373" s="2" t="str">
        <f t="shared" si="47"/>
        <v>Finland-Unemployment Rate</v>
      </c>
      <c r="B373" s="8" t="s">
        <v>279</v>
      </c>
      <c r="C373" s="8" t="s">
        <v>111</v>
      </c>
      <c r="D373" s="8" t="s">
        <v>111</v>
      </c>
      <c r="E373" s="8" t="s">
        <v>103</v>
      </c>
      <c r="F373" s="8"/>
      <c r="G373" s="8"/>
      <c r="H373" s="8" t="s">
        <v>629</v>
      </c>
    </row>
    <row r="374" spans="1:8" x14ac:dyDescent="0.3">
      <c r="A374" s="2" t="str">
        <f t="shared" si="47"/>
        <v>France-Unemployment Rate</v>
      </c>
      <c r="B374" s="8" t="s">
        <v>281</v>
      </c>
      <c r="C374" s="8" t="s">
        <v>111</v>
      </c>
      <c r="D374" s="8" t="s">
        <v>111</v>
      </c>
      <c r="E374" s="8" t="s">
        <v>103</v>
      </c>
      <c r="F374" s="8"/>
      <c r="G374" s="8"/>
      <c r="H374" s="8" t="s">
        <v>630</v>
      </c>
    </row>
    <row r="375" spans="1:8" x14ac:dyDescent="0.3">
      <c r="A375" s="2" t="str">
        <f t="shared" si="47"/>
        <v>Germany-Unemployment Rate</v>
      </c>
      <c r="B375" s="8" t="s">
        <v>290</v>
      </c>
      <c r="C375" s="8" t="s">
        <v>111</v>
      </c>
      <c r="D375" s="8" t="s">
        <v>111</v>
      </c>
      <c r="E375" s="8" t="s">
        <v>103</v>
      </c>
      <c r="F375" s="8"/>
      <c r="G375" s="8"/>
      <c r="H375" s="8" t="s">
        <v>631</v>
      </c>
    </row>
    <row r="376" spans="1:8" x14ac:dyDescent="0.3">
      <c r="A376" s="2" t="str">
        <f t="shared" si="47"/>
        <v>Greece-Unemployment Rate</v>
      </c>
      <c r="B376" s="8" t="s">
        <v>296</v>
      </c>
      <c r="C376" s="8" t="s">
        <v>111</v>
      </c>
      <c r="D376" s="8" t="s">
        <v>111</v>
      </c>
      <c r="E376" s="8" t="s">
        <v>103</v>
      </c>
      <c r="F376" s="8"/>
      <c r="G376" s="8"/>
      <c r="H376" s="8" t="s">
        <v>632</v>
      </c>
    </row>
    <row r="377" spans="1:8" x14ac:dyDescent="0.3">
      <c r="A377" s="2" t="str">
        <f t="shared" si="47"/>
        <v>Iceland-Unemployment Rate</v>
      </c>
      <c r="B377" s="8" t="s">
        <v>322</v>
      </c>
      <c r="C377" s="8" t="s">
        <v>111</v>
      </c>
      <c r="D377" s="8" t="s">
        <v>111</v>
      </c>
      <c r="E377" s="8" t="s">
        <v>103</v>
      </c>
      <c r="F377" s="8"/>
      <c r="G377" s="8"/>
      <c r="H377" s="8" t="s">
        <v>633</v>
      </c>
    </row>
    <row r="378" spans="1:8" x14ac:dyDescent="0.3">
      <c r="A378" s="2" t="str">
        <f t="shared" si="47"/>
        <v>Ireland-Unemployment Rate</v>
      </c>
      <c r="B378" s="8" t="s">
        <v>332</v>
      </c>
      <c r="C378" s="8" t="s">
        <v>111</v>
      </c>
      <c r="D378" s="8" t="s">
        <v>111</v>
      </c>
      <c r="E378" s="8" t="s">
        <v>103</v>
      </c>
      <c r="F378" s="8"/>
      <c r="G378" s="8"/>
      <c r="H378" s="8" t="s">
        <v>634</v>
      </c>
    </row>
    <row r="379" spans="1:8" x14ac:dyDescent="0.3">
      <c r="A379" s="2" t="str">
        <f t="shared" si="47"/>
        <v>Italy-Unemployment Rate</v>
      </c>
      <c r="B379" s="8" t="s">
        <v>338</v>
      </c>
      <c r="C379" s="8" t="s">
        <v>111</v>
      </c>
      <c r="D379" s="8" t="s">
        <v>111</v>
      </c>
      <c r="E379" s="8" t="s">
        <v>103</v>
      </c>
      <c r="F379" s="8"/>
      <c r="G379" s="8"/>
      <c r="H379" s="8" t="s">
        <v>635</v>
      </c>
    </row>
    <row r="380" spans="1:8" x14ac:dyDescent="0.3">
      <c r="A380" s="2" t="str">
        <f t="shared" si="47"/>
        <v>Luxembourg-Unemployment Rate</v>
      </c>
      <c r="B380" s="8" t="s">
        <v>378</v>
      </c>
      <c r="C380" s="8" t="s">
        <v>111</v>
      </c>
      <c r="D380" s="8" t="s">
        <v>111</v>
      </c>
      <c r="E380" s="8" t="s">
        <v>103</v>
      </c>
      <c r="F380" s="8"/>
      <c r="G380" s="8"/>
      <c r="H380" s="8" t="s">
        <v>636</v>
      </c>
    </row>
    <row r="381" spans="1:8" x14ac:dyDescent="0.3">
      <c r="A381" s="2" t="str">
        <f t="shared" si="47"/>
        <v>Malta-Unemployment Rate</v>
      </c>
      <c r="B381" s="8" t="s">
        <v>394</v>
      </c>
      <c r="C381" s="8" t="s">
        <v>111</v>
      </c>
      <c r="D381" s="8" t="s">
        <v>111</v>
      </c>
      <c r="E381" s="8" t="s">
        <v>103</v>
      </c>
      <c r="F381" s="8"/>
      <c r="G381" s="8"/>
      <c r="H381" s="8" t="s">
        <v>637</v>
      </c>
    </row>
    <row r="382" spans="1:8" x14ac:dyDescent="0.3">
      <c r="A382" s="2" t="str">
        <f t="shared" si="47"/>
        <v>Netherlands-Unemployment Rate</v>
      </c>
      <c r="B382" s="8" t="s">
        <v>422</v>
      </c>
      <c r="C382" s="8" t="s">
        <v>111</v>
      </c>
      <c r="D382" s="8" t="s">
        <v>111</v>
      </c>
      <c r="E382" s="8" t="s">
        <v>103</v>
      </c>
      <c r="F382" s="8"/>
      <c r="G382" s="8"/>
      <c r="H382" s="8" t="s">
        <v>638</v>
      </c>
    </row>
    <row r="383" spans="1:8" x14ac:dyDescent="0.3">
      <c r="A383" s="2" t="str">
        <f t="shared" si="47"/>
        <v>Norway-Unemployment Rate</v>
      </c>
      <c r="B383" s="8" t="s">
        <v>134</v>
      </c>
      <c r="C383" s="8" t="s">
        <v>111</v>
      </c>
      <c r="D383" s="8" t="s">
        <v>111</v>
      </c>
      <c r="E383" s="8" t="s">
        <v>103</v>
      </c>
      <c r="F383" s="8"/>
      <c r="G383" s="8"/>
      <c r="H383" s="8" t="s">
        <v>639</v>
      </c>
    </row>
    <row r="384" spans="1:8" x14ac:dyDescent="0.3">
      <c r="A384" s="2" t="str">
        <f t="shared" si="47"/>
        <v>Portugal-Unemployment Rate</v>
      </c>
      <c r="B384" s="8" t="s">
        <v>456</v>
      </c>
      <c r="C384" s="8" t="s">
        <v>111</v>
      </c>
      <c r="D384" s="8" t="s">
        <v>111</v>
      </c>
      <c r="E384" s="8" t="s">
        <v>103</v>
      </c>
      <c r="F384" s="8"/>
      <c r="G384" s="8"/>
      <c r="H384" s="8" t="s">
        <v>640</v>
      </c>
    </row>
    <row r="385" spans="1:8" x14ac:dyDescent="0.3">
      <c r="A385" s="2" t="str">
        <f t="shared" si="47"/>
        <v>Spain-Unemployment Rate</v>
      </c>
      <c r="B385" s="8" t="s">
        <v>510</v>
      </c>
      <c r="C385" s="8" t="s">
        <v>111</v>
      </c>
      <c r="D385" s="8" t="s">
        <v>111</v>
      </c>
      <c r="E385" s="8" t="s">
        <v>103</v>
      </c>
      <c r="F385" s="8"/>
      <c r="G385" s="8"/>
      <c r="H385" s="8" t="s">
        <v>641</v>
      </c>
    </row>
    <row r="386" spans="1:8" x14ac:dyDescent="0.3">
      <c r="A386" s="2" t="str">
        <f t="shared" si="47"/>
        <v>Sweden-Unemployment Rate</v>
      </c>
      <c r="B386" s="8" t="s">
        <v>135</v>
      </c>
      <c r="C386" s="8" t="s">
        <v>111</v>
      </c>
      <c r="D386" s="8" t="s">
        <v>111</v>
      </c>
      <c r="E386" s="8" t="s">
        <v>103</v>
      </c>
      <c r="F386" s="8"/>
      <c r="G386" s="8"/>
      <c r="H386" s="8" t="s">
        <v>642</v>
      </c>
    </row>
    <row r="387" spans="1:8" x14ac:dyDescent="0.3">
      <c r="A387" s="2" t="str">
        <f t="shared" ref="A387:A450" si="48">B387&amp;"-"&amp;C387</f>
        <v>Switzerland-Unemployment Rate</v>
      </c>
      <c r="B387" s="8" t="s">
        <v>133</v>
      </c>
      <c r="C387" s="8" t="s">
        <v>111</v>
      </c>
      <c r="D387" s="8" t="s">
        <v>111</v>
      </c>
      <c r="E387" s="8" t="s">
        <v>103</v>
      </c>
      <c r="F387" s="8"/>
      <c r="G387" s="8"/>
      <c r="H387" s="8" t="s">
        <v>643</v>
      </c>
    </row>
    <row r="388" spans="1:8" x14ac:dyDescent="0.3">
      <c r="A388" s="2" t="str">
        <f t="shared" si="48"/>
        <v>United Kingdom-Unemployment Rate</v>
      </c>
      <c r="B388" s="8" t="s">
        <v>128</v>
      </c>
      <c r="C388" s="8" t="s">
        <v>111</v>
      </c>
      <c r="D388" s="8" t="s">
        <v>111</v>
      </c>
      <c r="E388" s="8" t="s">
        <v>103</v>
      </c>
      <c r="F388" s="8"/>
      <c r="G388" s="8"/>
      <c r="H388" s="8" t="s">
        <v>595</v>
      </c>
    </row>
    <row r="389" spans="1:8" x14ac:dyDescent="0.3">
      <c r="A389" s="2" t="str">
        <f t="shared" si="48"/>
        <v>Bulgaria-Unemployment Rate</v>
      </c>
      <c r="B389" s="8" t="s">
        <v>202</v>
      </c>
      <c r="C389" s="8" t="s">
        <v>111</v>
      </c>
      <c r="D389" s="8" t="s">
        <v>111</v>
      </c>
      <c r="E389" s="8" t="s">
        <v>103</v>
      </c>
      <c r="F389" s="8"/>
      <c r="G389" s="8"/>
      <c r="H389" s="8" t="s">
        <v>644</v>
      </c>
    </row>
    <row r="390" spans="1:8" x14ac:dyDescent="0.3">
      <c r="A390" s="2" t="str">
        <f t="shared" si="48"/>
        <v>Croatia-Unemployment Rate</v>
      </c>
      <c r="B390" s="8" t="s">
        <v>241</v>
      </c>
      <c r="C390" s="8" t="s">
        <v>111</v>
      </c>
      <c r="D390" s="8" t="s">
        <v>111</v>
      </c>
      <c r="E390" s="8" t="s">
        <v>103</v>
      </c>
      <c r="F390" s="8"/>
      <c r="G390" s="8"/>
      <c r="H390" s="8" t="s">
        <v>645</v>
      </c>
    </row>
    <row r="391" spans="1:8" x14ac:dyDescent="0.3">
      <c r="A391" s="2" t="str">
        <f t="shared" si="48"/>
        <v>Czech Republic-Unemployment Rate</v>
      </c>
      <c r="B391" s="8" t="s">
        <v>249</v>
      </c>
      <c r="C391" s="8" t="s">
        <v>111</v>
      </c>
      <c r="D391" s="8" t="s">
        <v>111</v>
      </c>
      <c r="E391" s="8" t="s">
        <v>103</v>
      </c>
      <c r="F391" s="8"/>
      <c r="G391" s="8"/>
      <c r="H391" s="8" t="s">
        <v>646</v>
      </c>
    </row>
    <row r="392" spans="1:8" x14ac:dyDescent="0.3">
      <c r="A392" s="2" t="str">
        <f t="shared" si="48"/>
        <v>Estonia-Unemployment Rate</v>
      </c>
      <c r="B392" s="8" t="s">
        <v>269</v>
      </c>
      <c r="C392" s="8" t="s">
        <v>111</v>
      </c>
      <c r="D392" s="8" t="s">
        <v>111</v>
      </c>
      <c r="E392" s="8" t="s">
        <v>103</v>
      </c>
      <c r="F392" s="8"/>
      <c r="G392" s="8"/>
      <c r="H392" s="8" t="s">
        <v>647</v>
      </c>
    </row>
    <row r="393" spans="1:8" x14ac:dyDescent="0.3">
      <c r="A393" s="2" t="str">
        <f t="shared" si="48"/>
        <v>Hungary-Unemployment Rate</v>
      </c>
      <c r="B393" s="8" t="s">
        <v>320</v>
      </c>
      <c r="C393" s="8" t="s">
        <v>111</v>
      </c>
      <c r="D393" s="8" t="s">
        <v>111</v>
      </c>
      <c r="E393" s="8" t="s">
        <v>103</v>
      </c>
      <c r="F393" s="8"/>
      <c r="G393" s="8"/>
      <c r="H393" s="8" t="s">
        <v>648</v>
      </c>
    </row>
    <row r="394" spans="1:8" x14ac:dyDescent="0.3">
      <c r="A394" s="2" t="str">
        <f t="shared" si="48"/>
        <v>Latvia-Unemployment Rate</v>
      </c>
      <c r="B394" s="8" t="s">
        <v>364</v>
      </c>
      <c r="C394" s="8" t="s">
        <v>111</v>
      </c>
      <c r="D394" s="8" t="s">
        <v>111</v>
      </c>
      <c r="E394" s="8" t="s">
        <v>103</v>
      </c>
      <c r="F394" s="8"/>
      <c r="G394" s="8"/>
      <c r="H394" s="8" t="s">
        <v>649</v>
      </c>
    </row>
    <row r="395" spans="1:8" x14ac:dyDescent="0.3">
      <c r="A395" s="2" t="str">
        <f t="shared" si="48"/>
        <v>Lithuania-Unemployment Rate</v>
      </c>
      <c r="B395" s="8" t="s">
        <v>376</v>
      </c>
      <c r="C395" s="8" t="s">
        <v>111</v>
      </c>
      <c r="D395" s="8" t="s">
        <v>111</v>
      </c>
      <c r="E395" s="8" t="s">
        <v>103</v>
      </c>
      <c r="F395" s="8"/>
      <c r="G395" s="8"/>
      <c r="H395" s="8" t="s">
        <v>650</v>
      </c>
    </row>
    <row r="396" spans="1:8" x14ac:dyDescent="0.3">
      <c r="A396" s="2" t="str">
        <f t="shared" si="48"/>
        <v>Poland-Unemployment Rate</v>
      </c>
      <c r="B396" s="8" t="s">
        <v>454</v>
      </c>
      <c r="C396" s="8" t="s">
        <v>111</v>
      </c>
      <c r="D396" s="8" t="s">
        <v>111</v>
      </c>
      <c r="E396" s="8" t="s">
        <v>103</v>
      </c>
      <c r="F396" s="8"/>
      <c r="G396" s="8"/>
      <c r="H396" s="8" t="s">
        <v>651</v>
      </c>
    </row>
    <row r="397" spans="1:8" x14ac:dyDescent="0.3">
      <c r="A397" s="2" t="str">
        <f t="shared" si="48"/>
        <v>Romania-Unemployment Rate</v>
      </c>
      <c r="B397" s="8" t="s">
        <v>462</v>
      </c>
      <c r="C397" s="8" t="s">
        <v>111</v>
      </c>
      <c r="D397" s="8" t="s">
        <v>111</v>
      </c>
      <c r="E397" s="8" t="s">
        <v>103</v>
      </c>
      <c r="F397" s="8"/>
      <c r="G397" s="8"/>
      <c r="H397" s="8" t="s">
        <v>652</v>
      </c>
    </row>
    <row r="398" spans="1:8" x14ac:dyDescent="0.3">
      <c r="A398" s="2" t="str">
        <f t="shared" si="48"/>
        <v>Russia-Unemployment Rate</v>
      </c>
      <c r="B398" s="8" t="s">
        <v>464</v>
      </c>
      <c r="C398" s="8" t="s">
        <v>111</v>
      </c>
      <c r="D398" s="8" t="s">
        <v>111</v>
      </c>
      <c r="E398" s="8" t="s">
        <v>103</v>
      </c>
      <c r="F398" s="8"/>
      <c r="G398" s="8"/>
      <c r="H398" s="8" t="s">
        <v>653</v>
      </c>
    </row>
    <row r="399" spans="1:8" x14ac:dyDescent="0.3">
      <c r="A399" s="2" t="str">
        <f t="shared" si="48"/>
        <v>Slovakia-Unemployment Rate</v>
      </c>
      <c r="B399" s="8" t="s">
        <v>498</v>
      </c>
      <c r="C399" s="8" t="s">
        <v>111</v>
      </c>
      <c r="D399" s="8" t="s">
        <v>111</v>
      </c>
      <c r="E399" s="8" t="s">
        <v>103</v>
      </c>
      <c r="F399" s="8"/>
      <c r="G399" s="8"/>
      <c r="H399" s="8" t="s">
        <v>654</v>
      </c>
    </row>
    <row r="400" spans="1:8" x14ac:dyDescent="0.3">
      <c r="A400" s="2" t="str">
        <f t="shared" si="48"/>
        <v>Slovenia-Unemployment Rate</v>
      </c>
      <c r="B400" s="8" t="s">
        <v>500</v>
      </c>
      <c r="C400" s="8" t="s">
        <v>111</v>
      </c>
      <c r="D400" s="8" t="s">
        <v>111</v>
      </c>
      <c r="E400" s="8" t="s">
        <v>103</v>
      </c>
      <c r="F400" s="8"/>
      <c r="G400" s="8"/>
      <c r="H400" s="8" t="s">
        <v>655</v>
      </c>
    </row>
    <row r="401" spans="1:8" x14ac:dyDescent="0.3">
      <c r="A401" s="2" t="str">
        <f t="shared" si="48"/>
        <v>Turkey-Unemployment Rate</v>
      </c>
      <c r="B401" s="8" t="s">
        <v>542</v>
      </c>
      <c r="C401" s="8" t="s">
        <v>111</v>
      </c>
      <c r="D401" s="8" t="s">
        <v>111</v>
      </c>
      <c r="E401" s="8" t="s">
        <v>103</v>
      </c>
      <c r="F401" s="8"/>
      <c r="G401" s="8"/>
      <c r="H401" s="8" t="s">
        <v>656</v>
      </c>
    </row>
    <row r="402" spans="1:8" x14ac:dyDescent="0.3">
      <c r="A402" s="2" t="str">
        <f t="shared" si="48"/>
        <v>Ukraine-Unemployment Rate</v>
      </c>
      <c r="B402" s="8" t="s">
        <v>550</v>
      </c>
      <c r="C402" s="8" t="s">
        <v>111</v>
      </c>
      <c r="D402" s="8" t="s">
        <v>111</v>
      </c>
      <c r="E402" s="8" t="s">
        <v>103</v>
      </c>
      <c r="F402" s="8"/>
      <c r="G402" s="8"/>
      <c r="H402" s="8" t="s">
        <v>657</v>
      </c>
    </row>
    <row r="403" spans="1:8" x14ac:dyDescent="0.3">
      <c r="A403" s="2" t="str">
        <f t="shared" si="48"/>
        <v>Egypt-Unemployment Rate</v>
      </c>
      <c r="B403" s="8" t="s">
        <v>261</v>
      </c>
      <c r="C403" s="8" t="s">
        <v>111</v>
      </c>
      <c r="D403" s="8" t="s">
        <v>111</v>
      </c>
      <c r="E403" s="8" t="s">
        <v>103</v>
      </c>
      <c r="F403" s="8"/>
      <c r="G403" s="8"/>
      <c r="H403" s="8" t="s">
        <v>608</v>
      </c>
    </row>
    <row r="404" spans="1:8" x14ac:dyDescent="0.3">
      <c r="A404" s="2" t="str">
        <f t="shared" si="48"/>
        <v>Israel-Unemployment Rate</v>
      </c>
      <c r="B404" s="8" t="s">
        <v>336</v>
      </c>
      <c r="C404" s="8" t="s">
        <v>111</v>
      </c>
      <c r="D404" s="8" t="s">
        <v>111</v>
      </c>
      <c r="E404" s="8" t="s">
        <v>103</v>
      </c>
      <c r="F404" s="8"/>
      <c r="G404" s="8"/>
      <c r="H404" s="8" t="s">
        <v>658</v>
      </c>
    </row>
    <row r="405" spans="1:8" x14ac:dyDescent="0.3">
      <c r="A405" s="2" t="str">
        <f t="shared" si="48"/>
        <v>Jordan-Unemployment Rate</v>
      </c>
      <c r="B405" s="8" t="s">
        <v>345</v>
      </c>
      <c r="C405" s="8" t="s">
        <v>111</v>
      </c>
      <c r="D405" s="8" t="s">
        <v>111</v>
      </c>
      <c r="E405" s="8" t="s">
        <v>103</v>
      </c>
      <c r="F405" s="8"/>
      <c r="G405" s="8"/>
      <c r="H405" s="8" t="s">
        <v>659</v>
      </c>
    </row>
    <row r="406" spans="1:8" x14ac:dyDescent="0.3">
      <c r="A406" s="2" t="str">
        <f t="shared" si="48"/>
        <v>Morocco-Unemployment Rate</v>
      </c>
      <c r="B406" s="8" t="s">
        <v>414</v>
      </c>
      <c r="C406" s="8" t="s">
        <v>111</v>
      </c>
      <c r="D406" s="8" t="s">
        <v>111</v>
      </c>
      <c r="E406" s="8" t="s">
        <v>103</v>
      </c>
      <c r="F406" s="8"/>
      <c r="G406" s="8"/>
      <c r="H406" s="8" t="s">
        <v>609</v>
      </c>
    </row>
    <row r="407" spans="1:8" x14ac:dyDescent="0.3">
      <c r="A407" s="2" t="str">
        <f t="shared" si="48"/>
        <v>South Africa-Unemployment Rate</v>
      </c>
      <c r="B407" s="8" t="s">
        <v>506</v>
      </c>
      <c r="C407" s="8" t="s">
        <v>111</v>
      </c>
      <c r="D407" s="8" t="s">
        <v>111</v>
      </c>
      <c r="E407" s="8" t="s">
        <v>103</v>
      </c>
      <c r="F407" s="8"/>
      <c r="G407" s="8"/>
      <c r="H407" s="8" t="s">
        <v>660</v>
      </c>
    </row>
    <row r="408" spans="1:8" x14ac:dyDescent="0.3">
      <c r="A408" s="2" t="str">
        <f t="shared" si="48"/>
        <v>Australia-Unemployment Rate</v>
      </c>
      <c r="B408" s="8" t="s">
        <v>129</v>
      </c>
      <c r="C408" s="8" t="s">
        <v>111</v>
      </c>
      <c r="D408" s="8" t="s">
        <v>111</v>
      </c>
      <c r="E408" s="8" t="s">
        <v>103</v>
      </c>
      <c r="F408" s="8"/>
      <c r="G408" s="8"/>
      <c r="H408" s="8" t="s">
        <v>661</v>
      </c>
    </row>
    <row r="409" spans="1:8" x14ac:dyDescent="0.3">
      <c r="A409" s="2" t="str">
        <f t="shared" si="48"/>
        <v>China-Unemployment Rate</v>
      </c>
      <c r="B409" s="8" t="s">
        <v>225</v>
      </c>
      <c r="C409" s="8" t="s">
        <v>111</v>
      </c>
      <c r="D409" s="8" t="s">
        <v>111</v>
      </c>
      <c r="E409" s="8" t="s">
        <v>103</v>
      </c>
      <c r="F409" s="8"/>
      <c r="G409" s="8"/>
      <c r="H409" s="8" t="s">
        <v>662</v>
      </c>
    </row>
    <row r="410" spans="1:8" x14ac:dyDescent="0.3">
      <c r="A410" s="2" t="str">
        <f t="shared" si="48"/>
        <v>Hong Kong-Unemployment Rate</v>
      </c>
      <c r="B410" s="8" t="s">
        <v>318</v>
      </c>
      <c r="C410" s="8" t="s">
        <v>111</v>
      </c>
      <c r="D410" s="8" t="s">
        <v>111</v>
      </c>
      <c r="E410" s="8" t="s">
        <v>103</v>
      </c>
      <c r="F410" s="8"/>
      <c r="G410" s="8"/>
      <c r="H410" s="8" t="s">
        <v>663</v>
      </c>
    </row>
    <row r="411" spans="1:8" x14ac:dyDescent="0.3">
      <c r="A411" s="2" t="str">
        <f t="shared" si="48"/>
        <v>Japan-Unemployment Rate</v>
      </c>
      <c r="B411" s="8" t="s">
        <v>136</v>
      </c>
      <c r="C411" s="8" t="s">
        <v>111</v>
      </c>
      <c r="D411" s="8" t="s">
        <v>111</v>
      </c>
      <c r="E411" s="8" t="s">
        <v>103</v>
      </c>
      <c r="F411" s="8"/>
      <c r="G411" s="8"/>
      <c r="H411" s="8" t="s">
        <v>610</v>
      </c>
    </row>
    <row r="412" spans="1:8" x14ac:dyDescent="0.3">
      <c r="A412" s="2" t="str">
        <f t="shared" si="48"/>
        <v>Kazakhstan-Unemployment Rate</v>
      </c>
      <c r="B412" s="8" t="s">
        <v>347</v>
      </c>
      <c r="C412" s="8" t="s">
        <v>111</v>
      </c>
      <c r="D412" s="8" t="s">
        <v>111</v>
      </c>
      <c r="E412" s="8" t="s">
        <v>103</v>
      </c>
      <c r="F412" s="8"/>
      <c r="G412" s="8"/>
      <c r="H412" s="8" t="s">
        <v>664</v>
      </c>
    </row>
    <row r="413" spans="1:8" x14ac:dyDescent="0.3">
      <c r="A413" s="2" t="str">
        <f t="shared" si="48"/>
        <v>Macau-Unemployment Rate</v>
      </c>
      <c r="B413" s="8" t="s">
        <v>380</v>
      </c>
      <c r="C413" s="8" t="s">
        <v>111</v>
      </c>
      <c r="D413" s="8" t="s">
        <v>111</v>
      </c>
      <c r="E413" s="8" t="s">
        <v>103</v>
      </c>
      <c r="F413" s="8"/>
      <c r="G413" s="8"/>
      <c r="H413" s="8" t="s">
        <v>665</v>
      </c>
    </row>
    <row r="414" spans="1:8" x14ac:dyDescent="0.3">
      <c r="A414" s="2" t="str">
        <f t="shared" si="48"/>
        <v>Malaysia-Unemployment Rate</v>
      </c>
      <c r="B414" s="8" t="s">
        <v>388</v>
      </c>
      <c r="C414" s="8" t="s">
        <v>111</v>
      </c>
      <c r="D414" s="8" t="s">
        <v>111</v>
      </c>
      <c r="E414" s="8" t="s">
        <v>103</v>
      </c>
      <c r="F414" s="8"/>
      <c r="G414" s="8"/>
      <c r="H414" s="8" t="s">
        <v>666</v>
      </c>
    </row>
    <row r="415" spans="1:8" x14ac:dyDescent="0.3">
      <c r="A415" s="2" t="str">
        <f t="shared" si="48"/>
        <v>New Zealand-Unemployment Rate</v>
      </c>
      <c r="B415" s="8" t="s">
        <v>130</v>
      </c>
      <c r="C415" s="8" t="s">
        <v>111</v>
      </c>
      <c r="D415" s="8" t="s">
        <v>111</v>
      </c>
      <c r="E415" s="8" t="s">
        <v>103</v>
      </c>
      <c r="F415" s="8"/>
      <c r="G415" s="8"/>
      <c r="H415" s="8" t="s">
        <v>667</v>
      </c>
    </row>
    <row r="416" spans="1:8" x14ac:dyDescent="0.3">
      <c r="A416" s="2" t="str">
        <f t="shared" si="48"/>
        <v>Philippines-Unemployment Rate</v>
      </c>
      <c r="B416" s="8" t="s">
        <v>452</v>
      </c>
      <c r="C416" s="8" t="s">
        <v>111</v>
      </c>
      <c r="D416" s="8" t="s">
        <v>111</v>
      </c>
      <c r="E416" s="8" t="s">
        <v>103</v>
      </c>
      <c r="F416" s="8"/>
      <c r="G416" s="8"/>
      <c r="H416" s="8" t="s">
        <v>668</v>
      </c>
    </row>
    <row r="417" spans="1:8" x14ac:dyDescent="0.3">
      <c r="A417" s="2" t="str">
        <f t="shared" si="48"/>
        <v>Singapore-Unemployment Rate</v>
      </c>
      <c r="B417" s="8" t="s">
        <v>494</v>
      </c>
      <c r="C417" s="8" t="s">
        <v>111</v>
      </c>
      <c r="D417" s="8" t="s">
        <v>111</v>
      </c>
      <c r="E417" s="8" t="s">
        <v>103</v>
      </c>
      <c r="F417" s="8"/>
      <c r="G417" s="8"/>
      <c r="H417" s="8" t="s">
        <v>669</v>
      </c>
    </row>
    <row r="418" spans="1:8" x14ac:dyDescent="0.3">
      <c r="A418" s="2" t="str">
        <f t="shared" si="48"/>
        <v>South Korea-Unemployment Rate</v>
      </c>
      <c r="B418" s="8" t="s">
        <v>611</v>
      </c>
      <c r="C418" s="8" t="s">
        <v>111</v>
      </c>
      <c r="D418" s="8" t="s">
        <v>111</v>
      </c>
      <c r="E418" s="8" t="s">
        <v>103</v>
      </c>
      <c r="F418" s="8"/>
      <c r="G418" s="8"/>
      <c r="H418" s="8" t="s">
        <v>670</v>
      </c>
    </row>
    <row r="419" spans="1:8" x14ac:dyDescent="0.3">
      <c r="A419" s="2" t="str">
        <f t="shared" si="48"/>
        <v>Sri Lanka-Unemployment Rate</v>
      </c>
      <c r="B419" s="8" t="s">
        <v>512</v>
      </c>
      <c r="C419" s="8" t="s">
        <v>111</v>
      </c>
      <c r="D419" s="8" t="s">
        <v>111</v>
      </c>
      <c r="E419" s="8" t="s">
        <v>103</v>
      </c>
      <c r="F419" s="8"/>
      <c r="G419" s="8"/>
      <c r="H419" s="8" t="s">
        <v>671</v>
      </c>
    </row>
    <row r="420" spans="1:8" x14ac:dyDescent="0.3">
      <c r="A420" s="2" t="str">
        <f t="shared" si="48"/>
        <v>Taiwan-Unemployment Rate</v>
      </c>
      <c r="B420" s="8" t="s">
        <v>524</v>
      </c>
      <c r="C420" s="8" t="s">
        <v>111</v>
      </c>
      <c r="D420" s="8" t="s">
        <v>111</v>
      </c>
      <c r="E420" s="8" t="s">
        <v>103</v>
      </c>
      <c r="F420" s="8"/>
      <c r="G420" s="8"/>
      <c r="H420" s="8" t="s">
        <v>612</v>
      </c>
    </row>
    <row r="421" spans="1:8" x14ac:dyDescent="0.3">
      <c r="A421" s="2" t="str">
        <f t="shared" si="48"/>
        <v>Thailand-Unemployment Rate</v>
      </c>
      <c r="B421" s="8" t="s">
        <v>530</v>
      </c>
      <c r="C421" s="8" t="s">
        <v>111</v>
      </c>
      <c r="D421" s="8" t="s">
        <v>111</v>
      </c>
      <c r="E421" s="8" t="s">
        <v>103</v>
      </c>
      <c r="F421" s="8"/>
      <c r="G421" s="8"/>
      <c r="H421" s="8" t="s">
        <v>672</v>
      </c>
    </row>
    <row r="422" spans="1:8" x14ac:dyDescent="0.3">
      <c r="A422" s="2" t="str">
        <f t="shared" si="48"/>
        <v>United States-GDP QoQ (SAAR)</v>
      </c>
      <c r="B422" s="8" t="s">
        <v>131</v>
      </c>
      <c r="C422" s="8" t="s">
        <v>728</v>
      </c>
      <c r="D422" s="8" t="s">
        <v>728</v>
      </c>
      <c r="E422" s="8" t="s">
        <v>139</v>
      </c>
      <c r="F422" s="8"/>
      <c r="G422" s="8"/>
      <c r="H422" s="8" t="s">
        <v>673</v>
      </c>
    </row>
    <row r="423" spans="1:8" x14ac:dyDescent="0.3">
      <c r="A423" s="2" t="str">
        <f t="shared" si="48"/>
        <v>Canada-GDP QoQ (SAAR)</v>
      </c>
      <c r="B423" s="8" t="s">
        <v>132</v>
      </c>
      <c r="C423" s="8" t="s">
        <v>728</v>
      </c>
      <c r="D423" s="8" t="s">
        <v>728</v>
      </c>
      <c r="E423" s="8" t="s">
        <v>139</v>
      </c>
      <c r="F423" s="8"/>
      <c r="G423" s="8"/>
      <c r="H423" s="8" t="s">
        <v>674</v>
      </c>
    </row>
    <row r="424" spans="1:8" x14ac:dyDescent="0.3">
      <c r="A424" s="2" t="str">
        <f t="shared" si="48"/>
        <v>Mexico-GDP QoQ (SAAR)</v>
      </c>
      <c r="B424" s="8" t="s">
        <v>402</v>
      </c>
      <c r="C424" s="8" t="s">
        <v>728</v>
      </c>
      <c r="D424" s="8" t="s">
        <v>728</v>
      </c>
      <c r="E424" s="8" t="s">
        <v>139</v>
      </c>
      <c r="F424" s="8"/>
      <c r="G424" s="8"/>
      <c r="H424" s="8" t="s">
        <v>675</v>
      </c>
    </row>
    <row r="425" spans="1:8" x14ac:dyDescent="0.3">
      <c r="A425" s="2" t="str">
        <f t="shared" si="48"/>
        <v>Argentina-GDP QoQ (SAAR)</v>
      </c>
      <c r="B425" s="8" t="s">
        <v>159</v>
      </c>
      <c r="C425" s="8" t="s">
        <v>728</v>
      </c>
      <c r="D425" s="8" t="s">
        <v>728</v>
      </c>
      <c r="E425" s="8" t="s">
        <v>139</v>
      </c>
      <c r="F425" s="8"/>
      <c r="G425" s="8"/>
      <c r="H425" s="8" t="s">
        <v>676</v>
      </c>
    </row>
    <row r="426" spans="1:8" x14ac:dyDescent="0.3">
      <c r="A426" s="2" t="str">
        <f t="shared" si="48"/>
        <v>Brazil-GDP QoQ (SAAR)</v>
      </c>
      <c r="B426" s="8" t="s">
        <v>196</v>
      </c>
      <c r="C426" s="8" t="s">
        <v>728</v>
      </c>
      <c r="D426" s="8" t="s">
        <v>728</v>
      </c>
      <c r="E426" s="8" t="s">
        <v>139</v>
      </c>
      <c r="F426" s="8"/>
      <c r="G426" s="8"/>
      <c r="H426" s="8" t="s">
        <v>677</v>
      </c>
    </row>
    <row r="427" spans="1:8" x14ac:dyDescent="0.3">
      <c r="A427" s="2" t="str">
        <f t="shared" si="48"/>
        <v>Chile-GDP QoQ (SAAR)</v>
      </c>
      <c r="B427" s="8" t="s">
        <v>223</v>
      </c>
      <c r="C427" s="8" t="s">
        <v>728</v>
      </c>
      <c r="D427" s="8" t="s">
        <v>728</v>
      </c>
      <c r="E427" s="8" t="s">
        <v>139</v>
      </c>
      <c r="F427" s="8"/>
      <c r="G427" s="8"/>
      <c r="H427" s="8" t="s">
        <v>678</v>
      </c>
    </row>
    <row r="428" spans="1:8" x14ac:dyDescent="0.3">
      <c r="A428" s="2" t="str">
        <f t="shared" si="48"/>
        <v>Colombia-GDP QoQ (SAAR)</v>
      </c>
      <c r="B428" s="8" t="s">
        <v>227</v>
      </c>
      <c r="C428" s="8" t="s">
        <v>728</v>
      </c>
      <c r="D428" s="8" t="s">
        <v>728</v>
      </c>
      <c r="E428" s="8" t="s">
        <v>139</v>
      </c>
      <c r="F428" s="8"/>
      <c r="G428" s="8"/>
      <c r="H428" s="8" t="s">
        <v>679</v>
      </c>
    </row>
    <row r="429" spans="1:8" x14ac:dyDescent="0.3">
      <c r="A429" s="2" t="str">
        <f t="shared" si="48"/>
        <v>Costa Rica-GDP QoQ (SAAR)</v>
      </c>
      <c r="B429" s="8" t="s">
        <v>237</v>
      </c>
      <c r="C429" s="8" t="s">
        <v>728</v>
      </c>
      <c r="D429" s="8" t="s">
        <v>728</v>
      </c>
      <c r="E429" s="8" t="s">
        <v>139</v>
      </c>
      <c r="F429" s="8"/>
      <c r="G429" s="8"/>
      <c r="H429" s="8" t="s">
        <v>680</v>
      </c>
    </row>
    <row r="430" spans="1:8" x14ac:dyDescent="0.3">
      <c r="A430" s="2" t="str">
        <f t="shared" si="48"/>
        <v>Ecuador-GDP QoQ (SAAR)</v>
      </c>
      <c r="B430" s="8" t="s">
        <v>259</v>
      </c>
      <c r="C430" s="8" t="s">
        <v>728</v>
      </c>
      <c r="D430" s="8" t="s">
        <v>728</v>
      </c>
      <c r="E430" s="8" t="s">
        <v>139</v>
      </c>
      <c r="F430" s="8"/>
      <c r="G430" s="8"/>
      <c r="H430" s="8" t="s">
        <v>681</v>
      </c>
    </row>
    <row r="431" spans="1:8" x14ac:dyDescent="0.3">
      <c r="A431" s="2" t="str">
        <f t="shared" si="48"/>
        <v>Eurozone-GDP QoQ (SAAR)</v>
      </c>
      <c r="B431" s="8" t="s">
        <v>127</v>
      </c>
      <c r="C431" s="8" t="s">
        <v>728</v>
      </c>
      <c r="D431" s="8" t="s">
        <v>728</v>
      </c>
      <c r="E431" s="8" t="s">
        <v>139</v>
      </c>
      <c r="F431" s="8"/>
      <c r="G431" s="8"/>
      <c r="H431" s="8" t="s">
        <v>682</v>
      </c>
    </row>
    <row r="432" spans="1:8" x14ac:dyDescent="0.3">
      <c r="A432" s="2" t="str">
        <f t="shared" si="48"/>
        <v>EU-27-GDP QoQ (SAAR)</v>
      </c>
      <c r="B432" s="8" t="s">
        <v>683</v>
      </c>
      <c r="C432" s="8" t="s">
        <v>728</v>
      </c>
      <c r="D432" s="8" t="s">
        <v>728</v>
      </c>
      <c r="E432" s="8" t="s">
        <v>139</v>
      </c>
      <c r="F432" s="8"/>
      <c r="G432" s="8"/>
      <c r="H432" s="8" t="s">
        <v>684</v>
      </c>
    </row>
    <row r="433" spans="1:8" x14ac:dyDescent="0.3">
      <c r="A433" s="2" t="str">
        <f t="shared" si="48"/>
        <v>EU-15-GDP QoQ (SAAR)</v>
      </c>
      <c r="B433" s="8" t="s">
        <v>685</v>
      </c>
      <c r="C433" s="8" t="s">
        <v>728</v>
      </c>
      <c r="D433" s="8" t="s">
        <v>728</v>
      </c>
      <c r="E433" s="8" t="s">
        <v>139</v>
      </c>
      <c r="F433" s="8"/>
      <c r="G433" s="8"/>
      <c r="H433" s="8" t="s">
        <v>686</v>
      </c>
    </row>
    <row r="434" spans="1:8" x14ac:dyDescent="0.3">
      <c r="A434" s="2" t="str">
        <f t="shared" si="48"/>
        <v>Austria-GDP QoQ (SAAR)</v>
      </c>
      <c r="B434" s="8" t="s">
        <v>166</v>
      </c>
      <c r="C434" s="8" t="s">
        <v>728</v>
      </c>
      <c r="D434" s="8" t="s">
        <v>728</v>
      </c>
      <c r="E434" s="8" t="s">
        <v>139</v>
      </c>
      <c r="F434" s="8"/>
      <c r="G434" s="8"/>
      <c r="H434" s="8" t="s">
        <v>687</v>
      </c>
    </row>
    <row r="435" spans="1:8" x14ac:dyDescent="0.3">
      <c r="A435" s="2" t="str">
        <f t="shared" si="48"/>
        <v>Belgium-GDP QoQ (SAAR)</v>
      </c>
      <c r="B435" s="8" t="s">
        <v>180</v>
      </c>
      <c r="C435" s="8" t="s">
        <v>728</v>
      </c>
      <c r="D435" s="8" t="s">
        <v>728</v>
      </c>
      <c r="E435" s="8" t="s">
        <v>139</v>
      </c>
      <c r="F435" s="8"/>
      <c r="G435" s="8"/>
      <c r="H435" s="8" t="s">
        <v>688</v>
      </c>
    </row>
    <row r="436" spans="1:8" x14ac:dyDescent="0.3">
      <c r="A436" s="2" t="str">
        <f t="shared" si="48"/>
        <v>Cyprus-GDP QoQ (SAAR)</v>
      </c>
      <c r="B436" s="8" t="s">
        <v>247</v>
      </c>
      <c r="C436" s="8" t="s">
        <v>728</v>
      </c>
      <c r="D436" s="8" t="s">
        <v>728</v>
      </c>
      <c r="E436" s="8" t="s">
        <v>139</v>
      </c>
      <c r="F436" s="8"/>
      <c r="G436" s="8"/>
      <c r="H436" s="8" t="s">
        <v>689</v>
      </c>
    </row>
    <row r="437" spans="1:8" x14ac:dyDescent="0.3">
      <c r="A437" s="2" t="str">
        <f t="shared" si="48"/>
        <v>Czech Republic-GDP QoQ (SAAR)</v>
      </c>
      <c r="B437" s="8" t="s">
        <v>249</v>
      </c>
      <c r="C437" s="8" t="s">
        <v>728</v>
      </c>
      <c r="D437" s="8" t="s">
        <v>728</v>
      </c>
      <c r="E437" s="8" t="s">
        <v>139</v>
      </c>
      <c r="F437" s="8"/>
      <c r="G437" s="8"/>
      <c r="H437" s="8" t="s">
        <v>690</v>
      </c>
    </row>
    <row r="438" spans="1:8" x14ac:dyDescent="0.3">
      <c r="A438" s="2" t="str">
        <f t="shared" si="48"/>
        <v>Denmark-GDP QoQ (SAAR)</v>
      </c>
      <c r="B438" s="8" t="s">
        <v>251</v>
      </c>
      <c r="C438" s="8" t="s">
        <v>728</v>
      </c>
      <c r="D438" s="8" t="s">
        <v>728</v>
      </c>
      <c r="E438" s="8" t="s">
        <v>139</v>
      </c>
      <c r="F438" s="8"/>
      <c r="G438" s="8"/>
      <c r="H438" s="8" t="s">
        <v>691</v>
      </c>
    </row>
    <row r="439" spans="1:8" x14ac:dyDescent="0.3">
      <c r="A439" s="2" t="str">
        <f t="shared" si="48"/>
        <v>Estonia-GDP QoQ (SAAR)</v>
      </c>
      <c r="B439" s="8" t="s">
        <v>269</v>
      </c>
      <c r="C439" s="8" t="s">
        <v>728</v>
      </c>
      <c r="D439" s="8" t="s">
        <v>728</v>
      </c>
      <c r="E439" s="8" t="s">
        <v>139</v>
      </c>
      <c r="F439" s="8"/>
      <c r="G439" s="8"/>
      <c r="H439" s="8" t="s">
        <v>692</v>
      </c>
    </row>
    <row r="440" spans="1:8" x14ac:dyDescent="0.3">
      <c r="A440" s="2" t="str">
        <f t="shared" si="48"/>
        <v>Finland-GDP QoQ (SAAR)</v>
      </c>
      <c r="B440" s="8" t="s">
        <v>279</v>
      </c>
      <c r="C440" s="8" t="s">
        <v>728</v>
      </c>
      <c r="D440" s="8" t="s">
        <v>728</v>
      </c>
      <c r="E440" s="8" t="s">
        <v>139</v>
      </c>
      <c r="F440" s="8"/>
      <c r="G440" s="8"/>
      <c r="H440" s="8" t="s">
        <v>693</v>
      </c>
    </row>
    <row r="441" spans="1:8" x14ac:dyDescent="0.3">
      <c r="A441" s="2" t="str">
        <f t="shared" si="48"/>
        <v>France-GDP QoQ (SAAR)</v>
      </c>
      <c r="B441" s="8" t="s">
        <v>281</v>
      </c>
      <c r="C441" s="8" t="s">
        <v>728</v>
      </c>
      <c r="D441" s="8" t="s">
        <v>728</v>
      </c>
      <c r="E441" s="8" t="s">
        <v>139</v>
      </c>
      <c r="F441" s="8"/>
      <c r="G441" s="8"/>
      <c r="H441" s="8" t="s">
        <v>694</v>
      </c>
    </row>
    <row r="442" spans="1:8" x14ac:dyDescent="0.3">
      <c r="A442" s="2" t="str">
        <f t="shared" si="48"/>
        <v>Germany-GDP QoQ (SAAR)</v>
      </c>
      <c r="B442" s="8" t="s">
        <v>290</v>
      </c>
      <c r="C442" s="8" t="s">
        <v>728</v>
      </c>
      <c r="D442" s="8" t="s">
        <v>728</v>
      </c>
      <c r="E442" s="8" t="s">
        <v>139</v>
      </c>
      <c r="F442" s="8"/>
      <c r="G442" s="8"/>
      <c r="H442" s="8" t="s">
        <v>695</v>
      </c>
    </row>
    <row r="443" spans="1:8" x14ac:dyDescent="0.3">
      <c r="A443" s="2" t="str">
        <f t="shared" si="48"/>
        <v>Greece-GDP QoQ (SAAR)</v>
      </c>
      <c r="B443" s="8" t="s">
        <v>296</v>
      </c>
      <c r="C443" s="8" t="s">
        <v>728</v>
      </c>
      <c r="D443" s="8" t="s">
        <v>728</v>
      </c>
      <c r="E443" s="8" t="s">
        <v>139</v>
      </c>
      <c r="F443" s="8"/>
      <c r="G443" s="8"/>
      <c r="H443" s="8" t="s">
        <v>696</v>
      </c>
    </row>
    <row r="444" spans="1:8" x14ac:dyDescent="0.3">
      <c r="A444" s="2" t="str">
        <f t="shared" si="48"/>
        <v>Hungary-GDP QoQ (SAAR)</v>
      </c>
      <c r="B444" s="8" t="s">
        <v>320</v>
      </c>
      <c r="C444" s="8" t="s">
        <v>728</v>
      </c>
      <c r="D444" s="8" t="s">
        <v>728</v>
      </c>
      <c r="E444" s="8" t="s">
        <v>139</v>
      </c>
      <c r="F444" s="8"/>
      <c r="G444" s="8"/>
      <c r="H444" s="8" t="s">
        <v>697</v>
      </c>
    </row>
    <row r="445" spans="1:8" x14ac:dyDescent="0.3">
      <c r="A445" s="2" t="str">
        <f t="shared" si="48"/>
        <v>Ireland-GDP QoQ (SAAR)</v>
      </c>
      <c r="B445" s="8" t="s">
        <v>332</v>
      </c>
      <c r="C445" s="8" t="s">
        <v>728</v>
      </c>
      <c r="D445" s="8" t="s">
        <v>728</v>
      </c>
      <c r="E445" s="8" t="s">
        <v>139</v>
      </c>
      <c r="F445" s="8"/>
      <c r="G445" s="8"/>
      <c r="H445" s="8" t="s">
        <v>698</v>
      </c>
    </row>
    <row r="446" spans="1:8" x14ac:dyDescent="0.3">
      <c r="A446" s="2" t="str">
        <f t="shared" si="48"/>
        <v>Italy-GDP QoQ (SAAR)</v>
      </c>
      <c r="B446" s="8" t="s">
        <v>338</v>
      </c>
      <c r="C446" s="8" t="s">
        <v>728</v>
      </c>
      <c r="D446" s="8" t="s">
        <v>728</v>
      </c>
      <c r="E446" s="8" t="s">
        <v>139</v>
      </c>
      <c r="F446" s="8"/>
      <c r="G446" s="8"/>
      <c r="H446" s="8" t="s">
        <v>699</v>
      </c>
    </row>
    <row r="447" spans="1:8" x14ac:dyDescent="0.3">
      <c r="A447" s="2" t="str">
        <f t="shared" si="48"/>
        <v>Latvia-GDP QoQ (SAAR)</v>
      </c>
      <c r="B447" s="8" t="s">
        <v>364</v>
      </c>
      <c r="C447" s="8" t="s">
        <v>728</v>
      </c>
      <c r="D447" s="8" t="s">
        <v>728</v>
      </c>
      <c r="E447" s="8" t="s">
        <v>139</v>
      </c>
      <c r="F447" s="8"/>
      <c r="G447" s="8"/>
      <c r="H447" s="8" t="s">
        <v>700</v>
      </c>
    </row>
    <row r="448" spans="1:8" x14ac:dyDescent="0.3">
      <c r="A448" s="2" t="str">
        <f t="shared" si="48"/>
        <v>Lithuania-GDP QoQ (SAAR)</v>
      </c>
      <c r="B448" s="8" t="s">
        <v>376</v>
      </c>
      <c r="C448" s="8" t="s">
        <v>728</v>
      </c>
      <c r="D448" s="8" t="s">
        <v>728</v>
      </c>
      <c r="E448" s="8" t="s">
        <v>139</v>
      </c>
      <c r="F448" s="8"/>
      <c r="G448" s="8"/>
      <c r="H448" s="8" t="s">
        <v>701</v>
      </c>
    </row>
    <row r="449" spans="1:8" x14ac:dyDescent="0.3">
      <c r="A449" s="2" t="str">
        <f t="shared" si="48"/>
        <v>Luxembourg-GDP QoQ (SAAR)</v>
      </c>
      <c r="B449" s="8" t="s">
        <v>378</v>
      </c>
      <c r="C449" s="8" t="s">
        <v>728</v>
      </c>
      <c r="D449" s="8" t="s">
        <v>728</v>
      </c>
      <c r="E449" s="8" t="s">
        <v>139</v>
      </c>
      <c r="F449" s="8"/>
      <c r="G449" s="8"/>
      <c r="H449" s="8" t="s">
        <v>702</v>
      </c>
    </row>
    <row r="450" spans="1:8" x14ac:dyDescent="0.3">
      <c r="A450" s="2" t="str">
        <f t="shared" si="48"/>
        <v>Malta-GDP QoQ (SAAR)</v>
      </c>
      <c r="B450" s="8" t="s">
        <v>394</v>
      </c>
      <c r="C450" s="8" t="s">
        <v>728</v>
      </c>
      <c r="D450" s="8" t="s">
        <v>728</v>
      </c>
      <c r="E450" s="8" t="s">
        <v>139</v>
      </c>
      <c r="F450" s="8"/>
      <c r="G450" s="8"/>
      <c r="H450" s="8" t="s">
        <v>703</v>
      </c>
    </row>
    <row r="451" spans="1:8" x14ac:dyDescent="0.3">
      <c r="A451" s="2" t="str">
        <f t="shared" ref="A451:A514" si="49">B451&amp;"-"&amp;C451</f>
        <v>Netherlands-GDP QoQ (SAAR)</v>
      </c>
      <c r="B451" s="8" t="s">
        <v>422</v>
      </c>
      <c r="C451" s="8" t="s">
        <v>728</v>
      </c>
      <c r="D451" s="8" t="s">
        <v>728</v>
      </c>
      <c r="E451" s="8" t="s">
        <v>139</v>
      </c>
      <c r="F451" s="8"/>
      <c r="G451" s="8"/>
      <c r="H451" s="8" t="s">
        <v>704</v>
      </c>
    </row>
    <row r="452" spans="1:8" x14ac:dyDescent="0.3">
      <c r="A452" s="2" t="str">
        <f t="shared" si="49"/>
        <v>Norway-GDP QoQ (SAAR)</v>
      </c>
      <c r="B452" s="8" t="s">
        <v>134</v>
      </c>
      <c r="C452" s="8" t="s">
        <v>728</v>
      </c>
      <c r="D452" s="8" t="s">
        <v>728</v>
      </c>
      <c r="E452" s="8" t="s">
        <v>139</v>
      </c>
      <c r="F452" s="8"/>
      <c r="G452" s="8"/>
      <c r="H452" s="8" t="s">
        <v>705</v>
      </c>
    </row>
    <row r="453" spans="1:8" x14ac:dyDescent="0.3">
      <c r="A453" s="2" t="str">
        <f t="shared" si="49"/>
        <v>Poland-GDP QoQ (SAAR)</v>
      </c>
      <c r="B453" s="8" t="s">
        <v>454</v>
      </c>
      <c r="C453" s="8" t="s">
        <v>728</v>
      </c>
      <c r="D453" s="8" t="s">
        <v>728</v>
      </c>
      <c r="E453" s="8" t="s">
        <v>139</v>
      </c>
      <c r="F453" s="8"/>
      <c r="G453" s="8"/>
      <c r="H453" s="8" t="s">
        <v>706</v>
      </c>
    </row>
    <row r="454" spans="1:8" x14ac:dyDescent="0.3">
      <c r="A454" s="2" t="str">
        <f t="shared" si="49"/>
        <v>Portugal-GDP QoQ (SAAR)</v>
      </c>
      <c r="B454" s="8" t="s">
        <v>456</v>
      </c>
      <c r="C454" s="8" t="s">
        <v>728</v>
      </c>
      <c r="D454" s="8" t="s">
        <v>728</v>
      </c>
      <c r="E454" s="8" t="s">
        <v>139</v>
      </c>
      <c r="F454" s="8"/>
      <c r="G454" s="8"/>
      <c r="H454" s="8" t="s">
        <v>707</v>
      </c>
    </row>
    <row r="455" spans="1:8" x14ac:dyDescent="0.3">
      <c r="A455" s="2" t="str">
        <f t="shared" si="49"/>
        <v>Russia-GDP QoQ (SAAR)</v>
      </c>
      <c r="B455" s="8" t="s">
        <v>464</v>
      </c>
      <c r="C455" s="8" t="s">
        <v>728</v>
      </c>
      <c r="D455" s="8" t="s">
        <v>728</v>
      </c>
      <c r="E455" s="8" t="s">
        <v>139</v>
      </c>
      <c r="F455" s="8"/>
      <c r="G455" s="8"/>
      <c r="H455" s="8" t="s">
        <v>708</v>
      </c>
    </row>
    <row r="456" spans="1:8" x14ac:dyDescent="0.3">
      <c r="A456" s="2" t="str">
        <f t="shared" si="49"/>
        <v>Slovakia-GDP QoQ (SAAR)</v>
      </c>
      <c r="B456" s="8" t="s">
        <v>498</v>
      </c>
      <c r="C456" s="8" t="s">
        <v>728</v>
      </c>
      <c r="D456" s="8" t="s">
        <v>728</v>
      </c>
      <c r="E456" s="8" t="s">
        <v>139</v>
      </c>
      <c r="F456" s="8"/>
      <c r="G456" s="8"/>
      <c r="H456" s="8" t="s">
        <v>709</v>
      </c>
    </row>
    <row r="457" spans="1:8" x14ac:dyDescent="0.3">
      <c r="A457" s="2" t="str">
        <f t="shared" si="49"/>
        <v>Slovenia-GDP QoQ (SAAR)</v>
      </c>
      <c r="B457" s="8" t="s">
        <v>500</v>
      </c>
      <c r="C457" s="8" t="s">
        <v>728</v>
      </c>
      <c r="D457" s="8" t="s">
        <v>728</v>
      </c>
      <c r="E457" s="8" t="s">
        <v>139</v>
      </c>
      <c r="F457" s="8"/>
      <c r="G457" s="8"/>
      <c r="H457" s="8" t="s">
        <v>710</v>
      </c>
    </row>
    <row r="458" spans="1:8" x14ac:dyDescent="0.3">
      <c r="A458" s="2" t="str">
        <f t="shared" si="49"/>
        <v>Spain-GDP QoQ (SAAR)</v>
      </c>
      <c r="B458" s="8" t="s">
        <v>510</v>
      </c>
      <c r="C458" s="8" t="s">
        <v>728</v>
      </c>
      <c r="D458" s="8" t="s">
        <v>728</v>
      </c>
      <c r="E458" s="8" t="s">
        <v>139</v>
      </c>
      <c r="F458" s="8"/>
      <c r="G458" s="8"/>
      <c r="H458" s="8" t="s">
        <v>711</v>
      </c>
    </row>
    <row r="459" spans="1:8" x14ac:dyDescent="0.3">
      <c r="A459" s="2" t="str">
        <f t="shared" si="49"/>
        <v>Sweden-GDP QoQ (SAAR)</v>
      </c>
      <c r="B459" s="8" t="s">
        <v>135</v>
      </c>
      <c r="C459" s="8" t="s">
        <v>728</v>
      </c>
      <c r="D459" s="8" t="s">
        <v>728</v>
      </c>
      <c r="E459" s="8" t="s">
        <v>139</v>
      </c>
      <c r="F459" s="8"/>
      <c r="G459" s="8"/>
      <c r="H459" s="8" t="s">
        <v>712</v>
      </c>
    </row>
    <row r="460" spans="1:8" x14ac:dyDescent="0.3">
      <c r="A460" s="2" t="str">
        <f t="shared" si="49"/>
        <v>Switzerland-GDP QoQ (SAAR)</v>
      </c>
      <c r="B460" s="8" t="s">
        <v>133</v>
      </c>
      <c r="C460" s="8" t="s">
        <v>728</v>
      </c>
      <c r="D460" s="8" t="s">
        <v>728</v>
      </c>
      <c r="E460" s="8" t="s">
        <v>139</v>
      </c>
      <c r="F460" s="8"/>
      <c r="G460" s="8"/>
      <c r="H460" s="8" t="s">
        <v>713</v>
      </c>
    </row>
    <row r="461" spans="1:8" x14ac:dyDescent="0.3">
      <c r="A461" s="2" t="str">
        <f t="shared" si="49"/>
        <v>Turkey-GDP QoQ (SAAR)</v>
      </c>
      <c r="B461" s="8" t="s">
        <v>542</v>
      </c>
      <c r="C461" s="8" t="s">
        <v>728</v>
      </c>
      <c r="D461" s="8" t="s">
        <v>728</v>
      </c>
      <c r="E461" s="8" t="s">
        <v>139</v>
      </c>
      <c r="F461" s="8"/>
      <c r="G461" s="8"/>
      <c r="H461" s="8" t="s">
        <v>714</v>
      </c>
    </row>
    <row r="462" spans="1:8" x14ac:dyDescent="0.3">
      <c r="A462" s="2" t="str">
        <f t="shared" si="49"/>
        <v>United Kingdom-GDP QoQ (SAAR)</v>
      </c>
      <c r="B462" s="8" t="s">
        <v>128</v>
      </c>
      <c r="C462" s="8" t="s">
        <v>728</v>
      </c>
      <c r="D462" s="8" t="s">
        <v>728</v>
      </c>
      <c r="E462" s="8" t="s">
        <v>139</v>
      </c>
      <c r="F462" s="8"/>
      <c r="G462" s="8"/>
      <c r="H462" s="8" t="s">
        <v>715</v>
      </c>
    </row>
    <row r="463" spans="1:8" x14ac:dyDescent="0.3">
      <c r="A463" s="2" t="str">
        <f t="shared" si="49"/>
        <v>Israel-GDP QoQ (SAAR)</v>
      </c>
      <c r="B463" s="8" t="s">
        <v>336</v>
      </c>
      <c r="C463" s="8" t="s">
        <v>728</v>
      </c>
      <c r="D463" s="8" t="s">
        <v>728</v>
      </c>
      <c r="E463" s="8" t="s">
        <v>139</v>
      </c>
      <c r="F463" s="8"/>
      <c r="G463" s="8"/>
      <c r="H463" s="8" t="s">
        <v>716</v>
      </c>
    </row>
    <row r="464" spans="1:8" x14ac:dyDescent="0.3">
      <c r="A464" s="2" t="str">
        <f t="shared" si="49"/>
        <v>Kenya-GDP QoQ (SAAR)</v>
      </c>
      <c r="B464" s="8" t="s">
        <v>349</v>
      </c>
      <c r="C464" s="8" t="s">
        <v>728</v>
      </c>
      <c r="D464" s="8" t="s">
        <v>728</v>
      </c>
      <c r="E464" s="8" t="s">
        <v>139</v>
      </c>
      <c r="F464" s="8"/>
      <c r="G464" s="8"/>
      <c r="H464" s="8" t="s">
        <v>717</v>
      </c>
    </row>
    <row r="465" spans="1:8" x14ac:dyDescent="0.3">
      <c r="A465" s="2" t="str">
        <f t="shared" si="49"/>
        <v>South Africa-GDP QoQ (SAAR)</v>
      </c>
      <c r="B465" s="8" t="s">
        <v>506</v>
      </c>
      <c r="C465" s="8" t="s">
        <v>728</v>
      </c>
      <c r="D465" s="8" t="s">
        <v>728</v>
      </c>
      <c r="E465" s="8" t="s">
        <v>139</v>
      </c>
      <c r="F465" s="8"/>
      <c r="G465" s="8"/>
      <c r="H465" s="8" t="s">
        <v>718</v>
      </c>
    </row>
    <row r="466" spans="1:8" x14ac:dyDescent="0.3">
      <c r="A466" s="2" t="str">
        <f t="shared" si="49"/>
        <v>Australia-GDP QoQ (SAAR)</v>
      </c>
      <c r="B466" s="8" t="s">
        <v>129</v>
      </c>
      <c r="C466" s="8" t="s">
        <v>728</v>
      </c>
      <c r="D466" s="8" t="s">
        <v>728</v>
      </c>
      <c r="E466" s="8" t="s">
        <v>139</v>
      </c>
      <c r="F466" s="8"/>
      <c r="G466" s="8"/>
      <c r="H466" s="8" t="s">
        <v>719</v>
      </c>
    </row>
    <row r="467" spans="1:8" x14ac:dyDescent="0.3">
      <c r="A467" s="2" t="str">
        <f t="shared" si="49"/>
        <v>China-GDP QoQ (SAAR)</v>
      </c>
      <c r="B467" s="8" t="s">
        <v>225</v>
      </c>
      <c r="C467" s="8" t="s">
        <v>728</v>
      </c>
      <c r="D467" s="8" t="s">
        <v>728</v>
      </c>
      <c r="E467" s="8" t="s">
        <v>139</v>
      </c>
      <c r="F467" s="8"/>
      <c r="G467" s="8"/>
      <c r="H467" s="8" t="s">
        <v>720</v>
      </c>
    </row>
    <row r="468" spans="1:8" x14ac:dyDescent="0.3">
      <c r="A468" s="2" t="str">
        <f t="shared" si="49"/>
        <v>Japan-GDP QoQ (SAAR)</v>
      </c>
      <c r="B468" s="8" t="s">
        <v>136</v>
      </c>
      <c r="C468" s="8" t="s">
        <v>728</v>
      </c>
      <c r="D468" s="8" t="s">
        <v>728</v>
      </c>
      <c r="E468" s="8" t="s">
        <v>139</v>
      </c>
      <c r="F468" s="8"/>
      <c r="G468" s="8"/>
      <c r="H468" s="8" t="s">
        <v>721</v>
      </c>
    </row>
    <row r="469" spans="1:8" x14ac:dyDescent="0.3">
      <c r="A469" s="2" t="str">
        <f t="shared" si="49"/>
        <v>New Zealand-GDP QoQ (SAAR)</v>
      </c>
      <c r="B469" s="8" t="s">
        <v>130</v>
      </c>
      <c r="C469" s="8" t="s">
        <v>728</v>
      </c>
      <c r="D469" s="8" t="s">
        <v>728</v>
      </c>
      <c r="E469" s="8" t="s">
        <v>139</v>
      </c>
      <c r="F469" s="8"/>
      <c r="G469" s="8"/>
      <c r="H469" s="8" t="s">
        <v>722</v>
      </c>
    </row>
    <row r="470" spans="1:8" x14ac:dyDescent="0.3">
      <c r="A470" s="2" t="str">
        <f t="shared" si="49"/>
        <v>Philippines-GDP QoQ (SAAR)</v>
      </c>
      <c r="B470" s="8" t="s">
        <v>452</v>
      </c>
      <c r="C470" s="8" t="s">
        <v>728</v>
      </c>
      <c r="D470" s="8" t="s">
        <v>728</v>
      </c>
      <c r="E470" s="8" t="s">
        <v>139</v>
      </c>
      <c r="F470" s="8"/>
      <c r="G470" s="8"/>
      <c r="H470" s="8" t="s">
        <v>723</v>
      </c>
    </row>
    <row r="471" spans="1:8" x14ac:dyDescent="0.3">
      <c r="A471" s="2" t="str">
        <f t="shared" si="49"/>
        <v>Singapore-GDP QoQ (SAAR)</v>
      </c>
      <c r="B471" s="8" t="s">
        <v>494</v>
      </c>
      <c r="C471" s="8" t="s">
        <v>728</v>
      </c>
      <c r="D471" s="8" t="s">
        <v>728</v>
      </c>
      <c r="E471" s="8" t="s">
        <v>139</v>
      </c>
      <c r="F471" s="8"/>
      <c r="G471" s="8"/>
      <c r="H471" s="8" t="s">
        <v>724</v>
      </c>
    </row>
    <row r="472" spans="1:8" x14ac:dyDescent="0.3">
      <c r="A472" s="2" t="str">
        <f t="shared" si="49"/>
        <v>South Korea-GDP QoQ (SAAR)</v>
      </c>
      <c r="B472" s="8" t="s">
        <v>611</v>
      </c>
      <c r="C472" s="8" t="s">
        <v>728</v>
      </c>
      <c r="D472" s="8" t="s">
        <v>728</v>
      </c>
      <c r="E472" s="8" t="s">
        <v>139</v>
      </c>
      <c r="F472" s="8"/>
      <c r="G472" s="8"/>
      <c r="H472" s="8" t="s">
        <v>725</v>
      </c>
    </row>
    <row r="473" spans="1:8" x14ac:dyDescent="0.3">
      <c r="A473" s="2" t="str">
        <f t="shared" si="49"/>
        <v>Taiwan-GDP QoQ (SAAR)</v>
      </c>
      <c r="B473" s="8" t="s">
        <v>524</v>
      </c>
      <c r="C473" s="8" t="s">
        <v>728</v>
      </c>
      <c r="D473" s="8" t="s">
        <v>728</v>
      </c>
      <c r="E473" s="8" t="s">
        <v>139</v>
      </c>
      <c r="F473" s="8"/>
      <c r="G473" s="8"/>
      <c r="H473" s="8" t="s">
        <v>726</v>
      </c>
    </row>
    <row r="474" spans="1:8" x14ac:dyDescent="0.3">
      <c r="A474" s="2" t="str">
        <f t="shared" si="49"/>
        <v>Thailand-GDP QoQ (SAAR)</v>
      </c>
      <c r="B474" s="8" t="s">
        <v>530</v>
      </c>
      <c r="C474" s="8" t="s">
        <v>728</v>
      </c>
      <c r="D474" s="8" t="s">
        <v>728</v>
      </c>
      <c r="E474" s="8" t="s">
        <v>139</v>
      </c>
      <c r="F474" s="8"/>
      <c r="G474" s="8"/>
      <c r="H474" s="8" t="s">
        <v>727</v>
      </c>
    </row>
    <row r="475" spans="1:8" x14ac:dyDescent="0.3">
      <c r="A475" s="2" t="str">
        <f t="shared" si="49"/>
        <v>Canada-CPI YoY</v>
      </c>
      <c r="B475" s="8" t="s">
        <v>132</v>
      </c>
      <c r="C475" s="8" t="s">
        <v>859</v>
      </c>
      <c r="D475" s="8" t="s">
        <v>859</v>
      </c>
      <c r="E475" s="8" t="s">
        <v>103</v>
      </c>
      <c r="F475" s="8"/>
      <c r="G475" s="8"/>
      <c r="H475" s="8" t="s">
        <v>729</v>
      </c>
    </row>
    <row r="476" spans="1:8" x14ac:dyDescent="0.3">
      <c r="A476" s="2" t="str">
        <f t="shared" si="49"/>
        <v>United States-CPI YoY</v>
      </c>
      <c r="B476" s="8" t="s">
        <v>131</v>
      </c>
      <c r="C476" s="8" t="s">
        <v>859</v>
      </c>
      <c r="D476" s="8" t="s">
        <v>859</v>
      </c>
      <c r="E476" s="8" t="s">
        <v>103</v>
      </c>
      <c r="F476" s="8"/>
      <c r="G476" s="8"/>
      <c r="H476" s="8" t="s">
        <v>730</v>
      </c>
    </row>
    <row r="477" spans="1:8" x14ac:dyDescent="0.3">
      <c r="A477" s="2" t="str">
        <f t="shared" si="49"/>
        <v>Bahamas-CPI YoY</v>
      </c>
      <c r="B477" s="8" t="s">
        <v>731</v>
      </c>
      <c r="C477" s="8" t="s">
        <v>859</v>
      </c>
      <c r="D477" s="8" t="s">
        <v>859</v>
      </c>
      <c r="E477" s="8" t="s">
        <v>103</v>
      </c>
      <c r="F477" s="8"/>
      <c r="G477" s="8"/>
      <c r="H477" s="8" t="s">
        <v>732</v>
      </c>
    </row>
    <row r="478" spans="1:8" x14ac:dyDescent="0.3">
      <c r="A478" s="2" t="str">
        <f t="shared" si="49"/>
        <v>Barbados-CPI YoY</v>
      </c>
      <c r="B478" s="8" t="s">
        <v>176</v>
      </c>
      <c r="C478" s="8" t="s">
        <v>859</v>
      </c>
      <c r="D478" s="8" t="s">
        <v>859</v>
      </c>
      <c r="E478" s="8" t="s">
        <v>103</v>
      </c>
      <c r="F478" s="8"/>
      <c r="G478" s="8"/>
      <c r="H478" s="8" t="s">
        <v>733</v>
      </c>
    </row>
    <row r="479" spans="1:8" x14ac:dyDescent="0.3">
      <c r="A479" s="2" t="str">
        <f t="shared" si="49"/>
        <v>Belize-CPI YoY</v>
      </c>
      <c r="B479" s="8" t="s">
        <v>182</v>
      </c>
      <c r="C479" s="8" t="s">
        <v>859</v>
      </c>
      <c r="D479" s="8" t="s">
        <v>859</v>
      </c>
      <c r="E479" s="8" t="s">
        <v>103</v>
      </c>
      <c r="F479" s="8"/>
      <c r="G479" s="8"/>
      <c r="H479" s="8" t="s">
        <v>734</v>
      </c>
    </row>
    <row r="480" spans="1:8" x14ac:dyDescent="0.3">
      <c r="A480" s="2" t="str">
        <f t="shared" si="49"/>
        <v>Bermuda-CPI YoY</v>
      </c>
      <c r="B480" s="8" t="s">
        <v>186</v>
      </c>
      <c r="C480" s="8" t="s">
        <v>859</v>
      </c>
      <c r="D480" s="8" t="s">
        <v>859</v>
      </c>
      <c r="E480" s="8" t="s">
        <v>103</v>
      </c>
      <c r="F480" s="8"/>
      <c r="G480" s="8"/>
      <c r="H480" s="8" t="s">
        <v>735</v>
      </c>
    </row>
    <row r="481" spans="1:8" x14ac:dyDescent="0.3">
      <c r="A481" s="2" t="str">
        <f t="shared" si="49"/>
        <v>Bolivia-CPI YoY</v>
      </c>
      <c r="B481" s="8" t="s">
        <v>190</v>
      </c>
      <c r="C481" s="8" t="s">
        <v>859</v>
      </c>
      <c r="D481" s="8" t="s">
        <v>859</v>
      </c>
      <c r="E481" s="8" t="s">
        <v>103</v>
      </c>
      <c r="F481" s="8"/>
      <c r="G481" s="8"/>
      <c r="H481" s="8" t="s">
        <v>736</v>
      </c>
    </row>
    <row r="482" spans="1:8" x14ac:dyDescent="0.3">
      <c r="A482" s="2" t="str">
        <f t="shared" si="49"/>
        <v>Brazil-CPI YoY</v>
      </c>
      <c r="B482" s="8" t="s">
        <v>196</v>
      </c>
      <c r="C482" s="8" t="s">
        <v>859</v>
      </c>
      <c r="D482" s="8" t="s">
        <v>859</v>
      </c>
      <c r="E482" s="8" t="s">
        <v>103</v>
      </c>
      <c r="F482" s="8"/>
      <c r="G482" s="8"/>
      <c r="H482" s="8" t="s">
        <v>737</v>
      </c>
    </row>
    <row r="483" spans="1:8" x14ac:dyDescent="0.3">
      <c r="A483" s="2" t="str">
        <f t="shared" si="49"/>
        <v>Chile-CPI YoY</v>
      </c>
      <c r="B483" s="8" t="s">
        <v>223</v>
      </c>
      <c r="C483" s="8" t="s">
        <v>859</v>
      </c>
      <c r="D483" s="8" t="s">
        <v>859</v>
      </c>
      <c r="E483" s="8" t="s">
        <v>103</v>
      </c>
      <c r="F483" s="8"/>
      <c r="G483" s="8"/>
      <c r="H483" s="8" t="s">
        <v>738</v>
      </c>
    </row>
    <row r="484" spans="1:8" x14ac:dyDescent="0.3">
      <c r="A484" s="2" t="str">
        <f t="shared" si="49"/>
        <v>Colombia-CPI YoY</v>
      </c>
      <c r="B484" s="8" t="s">
        <v>227</v>
      </c>
      <c r="C484" s="8" t="s">
        <v>859</v>
      </c>
      <c r="D484" s="8" t="s">
        <v>859</v>
      </c>
      <c r="E484" s="8" t="s">
        <v>103</v>
      </c>
      <c r="F484" s="8"/>
      <c r="G484" s="8"/>
      <c r="H484" s="8" t="s">
        <v>739</v>
      </c>
    </row>
    <row r="485" spans="1:8" x14ac:dyDescent="0.3">
      <c r="A485" s="2" t="str">
        <f t="shared" si="49"/>
        <v>Costa Rica-CPI YoY</v>
      </c>
      <c r="B485" s="8" t="s">
        <v>237</v>
      </c>
      <c r="C485" s="8" t="s">
        <v>859</v>
      </c>
      <c r="D485" s="8" t="s">
        <v>859</v>
      </c>
      <c r="E485" s="8" t="s">
        <v>103</v>
      </c>
      <c r="F485" s="8"/>
      <c r="G485" s="8"/>
      <c r="H485" s="8" t="s">
        <v>740</v>
      </c>
    </row>
    <row r="486" spans="1:8" x14ac:dyDescent="0.3">
      <c r="A486" s="2" t="str">
        <f t="shared" si="49"/>
        <v>Dominican Republic-CPI YoY</v>
      </c>
      <c r="B486" s="8" t="s">
        <v>257</v>
      </c>
      <c r="C486" s="8" t="s">
        <v>859</v>
      </c>
      <c r="D486" s="8" t="s">
        <v>859</v>
      </c>
      <c r="E486" s="8" t="s">
        <v>103</v>
      </c>
      <c r="F486" s="8"/>
      <c r="G486" s="8"/>
      <c r="H486" s="8" t="s">
        <v>741</v>
      </c>
    </row>
    <row r="487" spans="1:8" x14ac:dyDescent="0.3">
      <c r="A487" s="2" t="str">
        <f t="shared" si="49"/>
        <v>Ecuador-CPI YoY</v>
      </c>
      <c r="B487" s="8" t="s">
        <v>259</v>
      </c>
      <c r="C487" s="8" t="s">
        <v>859</v>
      </c>
      <c r="D487" s="8" t="s">
        <v>859</v>
      </c>
      <c r="E487" s="8" t="s">
        <v>103</v>
      </c>
      <c r="F487" s="8"/>
      <c r="G487" s="8"/>
      <c r="H487" s="8" t="s">
        <v>742</v>
      </c>
    </row>
    <row r="488" spans="1:8" x14ac:dyDescent="0.3">
      <c r="A488" s="2" t="str">
        <f t="shared" si="49"/>
        <v>El Salvador-CPI YoY</v>
      </c>
      <c r="B488" s="8" t="s">
        <v>263</v>
      </c>
      <c r="C488" s="8" t="s">
        <v>859</v>
      </c>
      <c r="D488" s="8" t="s">
        <v>859</v>
      </c>
      <c r="E488" s="8" t="s">
        <v>103</v>
      </c>
      <c r="F488" s="8"/>
      <c r="G488" s="8"/>
      <c r="H488" s="8" t="s">
        <v>743</v>
      </c>
    </row>
    <row r="489" spans="1:8" x14ac:dyDescent="0.3">
      <c r="A489" s="2" t="str">
        <f t="shared" si="49"/>
        <v>Guatemala-CPI YoY</v>
      </c>
      <c r="B489" s="8" t="s">
        <v>304</v>
      </c>
      <c r="C489" s="8" t="s">
        <v>859</v>
      </c>
      <c r="D489" s="8" t="s">
        <v>859</v>
      </c>
      <c r="E489" s="8" t="s">
        <v>103</v>
      </c>
      <c r="F489" s="8"/>
      <c r="G489" s="8"/>
      <c r="H489" s="8" t="s">
        <v>744</v>
      </c>
    </row>
    <row r="490" spans="1:8" x14ac:dyDescent="0.3">
      <c r="A490" s="2" t="str">
        <f t="shared" si="49"/>
        <v>Honduras-CPI YoY</v>
      </c>
      <c r="B490" s="8" t="s">
        <v>316</v>
      </c>
      <c r="C490" s="8" t="s">
        <v>859</v>
      </c>
      <c r="D490" s="8" t="s">
        <v>859</v>
      </c>
      <c r="E490" s="8" t="s">
        <v>103</v>
      </c>
      <c r="F490" s="8"/>
      <c r="G490" s="8"/>
      <c r="H490" s="8" t="s">
        <v>745</v>
      </c>
    </row>
    <row r="491" spans="1:8" x14ac:dyDescent="0.3">
      <c r="A491" s="2" t="str">
        <f t="shared" si="49"/>
        <v>Jamaica-CPI YoY</v>
      </c>
      <c r="B491" s="8" t="s">
        <v>340</v>
      </c>
      <c r="C491" s="8" t="s">
        <v>859</v>
      </c>
      <c r="D491" s="8" t="s">
        <v>859</v>
      </c>
      <c r="E491" s="8" t="s">
        <v>103</v>
      </c>
      <c r="F491" s="8"/>
      <c r="G491" s="8"/>
      <c r="H491" s="8" t="s">
        <v>746</v>
      </c>
    </row>
    <row r="492" spans="1:8" x14ac:dyDescent="0.3">
      <c r="A492" s="2" t="str">
        <f t="shared" si="49"/>
        <v>Mexico-CPI YoY</v>
      </c>
      <c r="B492" s="8" t="s">
        <v>402</v>
      </c>
      <c r="C492" s="8" t="s">
        <v>859</v>
      </c>
      <c r="D492" s="8" t="s">
        <v>859</v>
      </c>
      <c r="E492" s="8" t="s">
        <v>103</v>
      </c>
      <c r="F492" s="8"/>
      <c r="G492" s="8"/>
      <c r="H492" s="8" t="s">
        <v>747</v>
      </c>
    </row>
    <row r="493" spans="1:8" x14ac:dyDescent="0.3">
      <c r="A493" s="2" t="str">
        <f t="shared" si="49"/>
        <v>Nicaragua-CPI YoY</v>
      </c>
      <c r="B493" s="8" t="s">
        <v>427</v>
      </c>
      <c r="C493" s="8" t="s">
        <v>859</v>
      </c>
      <c r="D493" s="8" t="s">
        <v>859</v>
      </c>
      <c r="E493" s="8" t="s">
        <v>103</v>
      </c>
      <c r="F493" s="8"/>
      <c r="G493" s="8"/>
      <c r="H493" s="8" t="s">
        <v>748</v>
      </c>
    </row>
    <row r="494" spans="1:8" x14ac:dyDescent="0.3">
      <c r="A494" s="2" t="str">
        <f t="shared" si="49"/>
        <v>Panama-CPI YoY</v>
      </c>
      <c r="B494" s="8" t="s">
        <v>444</v>
      </c>
      <c r="C494" s="8" t="s">
        <v>859</v>
      </c>
      <c r="D494" s="8" t="s">
        <v>859</v>
      </c>
      <c r="E494" s="8" t="s">
        <v>103</v>
      </c>
      <c r="F494" s="8"/>
      <c r="G494" s="8"/>
      <c r="H494" s="8" t="s">
        <v>749</v>
      </c>
    </row>
    <row r="495" spans="1:8" x14ac:dyDescent="0.3">
      <c r="A495" s="2" t="str">
        <f t="shared" si="49"/>
        <v>Paraguay-CPI YoY</v>
      </c>
      <c r="B495" s="8" t="s">
        <v>448</v>
      </c>
      <c r="C495" s="8" t="s">
        <v>859</v>
      </c>
      <c r="D495" s="8" t="s">
        <v>859</v>
      </c>
      <c r="E495" s="8" t="s">
        <v>103</v>
      </c>
      <c r="F495" s="8"/>
      <c r="G495" s="8"/>
      <c r="H495" s="8" t="s">
        <v>750</v>
      </c>
    </row>
    <row r="496" spans="1:8" x14ac:dyDescent="0.3">
      <c r="A496" s="2" t="str">
        <f t="shared" si="49"/>
        <v>Peru-CPI YoY</v>
      </c>
      <c r="B496" s="8" t="s">
        <v>450</v>
      </c>
      <c r="C496" s="8" t="s">
        <v>859</v>
      </c>
      <c r="D496" s="8" t="s">
        <v>859</v>
      </c>
      <c r="E496" s="8" t="s">
        <v>103</v>
      </c>
      <c r="F496" s="8"/>
      <c r="G496" s="8"/>
      <c r="H496" s="8" t="s">
        <v>751</v>
      </c>
    </row>
    <row r="497" spans="1:8" x14ac:dyDescent="0.3">
      <c r="A497" s="2" t="str">
        <f t="shared" si="49"/>
        <v>Puerto Rico-CPI YoY</v>
      </c>
      <c r="B497" s="8" t="s">
        <v>458</v>
      </c>
      <c r="C497" s="8" t="s">
        <v>859</v>
      </c>
      <c r="D497" s="8" t="s">
        <v>859</v>
      </c>
      <c r="E497" s="8" t="s">
        <v>103</v>
      </c>
      <c r="F497" s="8"/>
      <c r="G497" s="8"/>
      <c r="H497" s="8" t="s">
        <v>752</v>
      </c>
    </row>
    <row r="498" spans="1:8" x14ac:dyDescent="0.3">
      <c r="A498" s="2" t="str">
        <f t="shared" si="49"/>
        <v>Trinidad &amp; Tobago-CPI YoY</v>
      </c>
      <c r="B498" s="8" t="s">
        <v>753</v>
      </c>
      <c r="C498" s="8" t="s">
        <v>859</v>
      </c>
      <c r="D498" s="8" t="s">
        <v>859</v>
      </c>
      <c r="E498" s="8" t="s">
        <v>103</v>
      </c>
      <c r="F498" s="8"/>
      <c r="G498" s="8"/>
      <c r="H498" s="8" t="s">
        <v>754</v>
      </c>
    </row>
    <row r="499" spans="1:8" x14ac:dyDescent="0.3">
      <c r="A499" s="2" t="str">
        <f t="shared" si="49"/>
        <v>Uruguay-CPI YoY</v>
      </c>
      <c r="B499" s="8" t="s">
        <v>556</v>
      </c>
      <c r="C499" s="8" t="s">
        <v>859</v>
      </c>
      <c r="D499" s="8" t="s">
        <v>859</v>
      </c>
      <c r="E499" s="8" t="s">
        <v>103</v>
      </c>
      <c r="F499" s="8"/>
      <c r="G499" s="8"/>
      <c r="H499" s="8" t="s">
        <v>755</v>
      </c>
    </row>
    <row r="500" spans="1:8" x14ac:dyDescent="0.3">
      <c r="A500" s="2" t="str">
        <f t="shared" si="49"/>
        <v>Venezuela-CPI YoY</v>
      </c>
      <c r="B500" s="8" t="s">
        <v>562</v>
      </c>
      <c r="C500" s="8" t="s">
        <v>859</v>
      </c>
      <c r="D500" s="8" t="s">
        <v>859</v>
      </c>
      <c r="E500" s="8" t="s">
        <v>103</v>
      </c>
      <c r="F500" s="8"/>
      <c r="G500" s="8"/>
      <c r="H500" s="8" t="s">
        <v>756</v>
      </c>
    </row>
    <row r="501" spans="1:8" x14ac:dyDescent="0.3">
      <c r="A501" s="2" t="str">
        <f t="shared" si="49"/>
        <v>Austria-CPI YoY</v>
      </c>
      <c r="B501" s="8" t="s">
        <v>166</v>
      </c>
      <c r="C501" s="8" t="s">
        <v>859</v>
      </c>
      <c r="D501" s="8" t="s">
        <v>859</v>
      </c>
      <c r="E501" s="8" t="s">
        <v>103</v>
      </c>
      <c r="F501" s="8"/>
      <c r="G501" s="8"/>
      <c r="H501" s="8" t="s">
        <v>757</v>
      </c>
    </row>
    <row r="502" spans="1:8" x14ac:dyDescent="0.3">
      <c r="A502" s="2" t="str">
        <f t="shared" si="49"/>
        <v>Belgium-CPI YoY</v>
      </c>
      <c r="B502" s="8" t="s">
        <v>180</v>
      </c>
      <c r="C502" s="8" t="s">
        <v>859</v>
      </c>
      <c r="D502" s="8" t="s">
        <v>859</v>
      </c>
      <c r="E502" s="8" t="s">
        <v>103</v>
      </c>
      <c r="F502" s="8"/>
      <c r="G502" s="8"/>
      <c r="H502" s="8" t="s">
        <v>758</v>
      </c>
    </row>
    <row r="503" spans="1:8" x14ac:dyDescent="0.3">
      <c r="A503" s="2" t="str">
        <f t="shared" si="49"/>
        <v>Cyprus-CPI YoY</v>
      </c>
      <c r="B503" s="8" t="s">
        <v>247</v>
      </c>
      <c r="C503" s="8" t="s">
        <v>859</v>
      </c>
      <c r="D503" s="8" t="s">
        <v>859</v>
      </c>
      <c r="E503" s="8" t="s">
        <v>103</v>
      </c>
      <c r="F503" s="8"/>
      <c r="G503" s="8"/>
      <c r="H503" s="8" t="s">
        <v>759</v>
      </c>
    </row>
    <row r="504" spans="1:8" x14ac:dyDescent="0.3">
      <c r="A504" s="2" t="str">
        <f t="shared" si="49"/>
        <v>Denmark-CPI YoY</v>
      </c>
      <c r="B504" s="8" t="s">
        <v>251</v>
      </c>
      <c r="C504" s="8" t="s">
        <v>859</v>
      </c>
      <c r="D504" s="8" t="s">
        <v>859</v>
      </c>
      <c r="E504" s="8" t="s">
        <v>103</v>
      </c>
      <c r="F504" s="8"/>
      <c r="G504" s="8"/>
      <c r="H504" s="8" t="s">
        <v>760</v>
      </c>
    </row>
    <row r="505" spans="1:8" x14ac:dyDescent="0.3">
      <c r="A505" s="2" t="str">
        <f t="shared" si="49"/>
        <v>Estonia-CPI YoY</v>
      </c>
      <c r="B505" s="8" t="s">
        <v>269</v>
      </c>
      <c r="C505" s="8" t="s">
        <v>859</v>
      </c>
      <c r="D505" s="8" t="s">
        <v>859</v>
      </c>
      <c r="E505" s="8" t="s">
        <v>103</v>
      </c>
      <c r="F505" s="8"/>
      <c r="G505" s="8"/>
      <c r="H505" s="8" t="s">
        <v>761</v>
      </c>
    </row>
    <row r="506" spans="1:8" x14ac:dyDescent="0.3">
      <c r="A506" s="2" t="str">
        <f t="shared" si="49"/>
        <v>European Union-CPI YoY</v>
      </c>
      <c r="B506" s="8" t="s">
        <v>626</v>
      </c>
      <c r="C506" s="8" t="s">
        <v>859</v>
      </c>
      <c r="D506" s="8" t="s">
        <v>859</v>
      </c>
      <c r="E506" s="8" t="s">
        <v>103</v>
      </c>
      <c r="F506" s="8"/>
      <c r="G506" s="8"/>
      <c r="H506" s="8" t="s">
        <v>762</v>
      </c>
    </row>
    <row r="507" spans="1:8" x14ac:dyDescent="0.3">
      <c r="A507" s="2" t="str">
        <f t="shared" si="49"/>
        <v>Eurozone-CPI YoY</v>
      </c>
      <c r="B507" s="8" t="s">
        <v>127</v>
      </c>
      <c r="C507" s="8" t="s">
        <v>859</v>
      </c>
      <c r="D507" s="8" t="s">
        <v>859</v>
      </c>
      <c r="E507" s="8" t="s">
        <v>103</v>
      </c>
      <c r="F507" s="8"/>
      <c r="G507" s="8"/>
      <c r="H507" s="8" t="s">
        <v>763</v>
      </c>
    </row>
    <row r="508" spans="1:8" x14ac:dyDescent="0.3">
      <c r="A508" s="2" t="str">
        <f t="shared" si="49"/>
        <v>Finland-CPI YoY</v>
      </c>
      <c r="B508" s="8" t="s">
        <v>279</v>
      </c>
      <c r="C508" s="8" t="s">
        <v>859</v>
      </c>
      <c r="D508" s="8" t="s">
        <v>859</v>
      </c>
      <c r="E508" s="8" t="s">
        <v>103</v>
      </c>
      <c r="F508" s="8"/>
      <c r="G508" s="8"/>
      <c r="H508" s="8" t="s">
        <v>764</v>
      </c>
    </row>
    <row r="509" spans="1:8" x14ac:dyDescent="0.3">
      <c r="A509" s="2" t="str">
        <f t="shared" si="49"/>
        <v>France-CPI YoY</v>
      </c>
      <c r="B509" s="8" t="s">
        <v>281</v>
      </c>
      <c r="C509" s="8" t="s">
        <v>859</v>
      </c>
      <c r="D509" s="8" t="s">
        <v>859</v>
      </c>
      <c r="E509" s="8" t="s">
        <v>103</v>
      </c>
      <c r="F509" s="8"/>
      <c r="G509" s="8"/>
      <c r="H509" s="8" t="s">
        <v>765</v>
      </c>
    </row>
    <row r="510" spans="1:8" x14ac:dyDescent="0.3">
      <c r="A510" s="2" t="str">
        <f t="shared" si="49"/>
        <v>Germany-CPI YoY</v>
      </c>
      <c r="B510" s="8" t="s">
        <v>290</v>
      </c>
      <c r="C510" s="8" t="s">
        <v>859</v>
      </c>
      <c r="D510" s="8" t="s">
        <v>859</v>
      </c>
      <c r="E510" s="8" t="s">
        <v>103</v>
      </c>
      <c r="F510" s="8"/>
      <c r="G510" s="8"/>
      <c r="H510" s="8" t="s">
        <v>766</v>
      </c>
    </row>
    <row r="511" spans="1:8" x14ac:dyDescent="0.3">
      <c r="A511" s="2" t="str">
        <f t="shared" si="49"/>
        <v>Greece-CPI YoY</v>
      </c>
      <c r="B511" s="8" t="s">
        <v>296</v>
      </c>
      <c r="C511" s="8" t="s">
        <v>859</v>
      </c>
      <c r="D511" s="8" t="s">
        <v>859</v>
      </c>
      <c r="E511" s="8" t="s">
        <v>103</v>
      </c>
      <c r="F511" s="8"/>
      <c r="G511" s="8"/>
      <c r="H511" s="8" t="s">
        <v>767</v>
      </c>
    </row>
    <row r="512" spans="1:8" x14ac:dyDescent="0.3">
      <c r="A512" s="2" t="str">
        <f t="shared" si="49"/>
        <v>Iceland-CPI YoY</v>
      </c>
      <c r="B512" s="8" t="s">
        <v>322</v>
      </c>
      <c r="C512" s="8" t="s">
        <v>859</v>
      </c>
      <c r="D512" s="8" t="s">
        <v>859</v>
      </c>
      <c r="E512" s="8" t="s">
        <v>103</v>
      </c>
      <c r="F512" s="8"/>
      <c r="G512" s="8"/>
      <c r="H512" s="8" t="s">
        <v>768</v>
      </c>
    </row>
    <row r="513" spans="1:8" x14ac:dyDescent="0.3">
      <c r="A513" s="2" t="str">
        <f t="shared" si="49"/>
        <v>Ireland-CPI YoY</v>
      </c>
      <c r="B513" s="8" t="s">
        <v>332</v>
      </c>
      <c r="C513" s="8" t="s">
        <v>859</v>
      </c>
      <c r="D513" s="8" t="s">
        <v>859</v>
      </c>
      <c r="E513" s="8" t="s">
        <v>103</v>
      </c>
      <c r="F513" s="8"/>
      <c r="G513" s="8"/>
      <c r="H513" s="8" t="s">
        <v>769</v>
      </c>
    </row>
    <row r="514" spans="1:8" x14ac:dyDescent="0.3">
      <c r="A514" s="2" t="str">
        <f t="shared" si="49"/>
        <v>Italy-CPI YoY</v>
      </c>
      <c r="B514" s="8" t="s">
        <v>338</v>
      </c>
      <c r="C514" s="8" t="s">
        <v>859</v>
      </c>
      <c r="D514" s="8" t="s">
        <v>859</v>
      </c>
      <c r="E514" s="8" t="s">
        <v>103</v>
      </c>
      <c r="F514" s="8"/>
      <c r="G514" s="8"/>
      <c r="H514" s="8" t="s">
        <v>770</v>
      </c>
    </row>
    <row r="515" spans="1:8" x14ac:dyDescent="0.3">
      <c r="A515" s="2" t="str">
        <f t="shared" ref="A515:A578" si="50">B515&amp;"-"&amp;C515</f>
        <v>Luxembourg-CPI YoY</v>
      </c>
      <c r="B515" s="8" t="s">
        <v>378</v>
      </c>
      <c r="C515" s="8" t="s">
        <v>859</v>
      </c>
      <c r="D515" s="8" t="s">
        <v>859</v>
      </c>
      <c r="E515" s="8" t="s">
        <v>103</v>
      </c>
      <c r="F515" s="8"/>
      <c r="G515" s="8"/>
      <c r="H515" s="8" t="s">
        <v>771</v>
      </c>
    </row>
    <row r="516" spans="1:8" x14ac:dyDescent="0.3">
      <c r="A516" s="2" t="str">
        <f t="shared" si="50"/>
        <v>Malta-CPI YoY</v>
      </c>
      <c r="B516" s="8" t="s">
        <v>394</v>
      </c>
      <c r="C516" s="8" t="s">
        <v>859</v>
      </c>
      <c r="D516" s="8" t="s">
        <v>859</v>
      </c>
      <c r="E516" s="8" t="s">
        <v>103</v>
      </c>
      <c r="F516" s="8"/>
      <c r="G516" s="8"/>
      <c r="H516" s="8" t="s">
        <v>772</v>
      </c>
    </row>
    <row r="517" spans="1:8" x14ac:dyDescent="0.3">
      <c r="A517" s="2" t="str">
        <f t="shared" si="50"/>
        <v>Netherlands-CPI YoY</v>
      </c>
      <c r="B517" s="8" t="s">
        <v>422</v>
      </c>
      <c r="C517" s="8" t="s">
        <v>859</v>
      </c>
      <c r="D517" s="8" t="s">
        <v>859</v>
      </c>
      <c r="E517" s="8" t="s">
        <v>103</v>
      </c>
      <c r="F517" s="8"/>
      <c r="G517" s="8"/>
      <c r="H517" s="8" t="s">
        <v>773</v>
      </c>
    </row>
    <row r="518" spans="1:8" x14ac:dyDescent="0.3">
      <c r="A518" s="2" t="str">
        <f t="shared" si="50"/>
        <v>Norway-CPI YoY</v>
      </c>
      <c r="B518" s="8" t="s">
        <v>134</v>
      </c>
      <c r="C518" s="8" t="s">
        <v>859</v>
      </c>
      <c r="D518" s="8" t="s">
        <v>859</v>
      </c>
      <c r="E518" s="8" t="s">
        <v>103</v>
      </c>
      <c r="F518" s="8"/>
      <c r="G518" s="8"/>
      <c r="H518" s="8" t="s">
        <v>774</v>
      </c>
    </row>
    <row r="519" spans="1:8" x14ac:dyDescent="0.3">
      <c r="A519" s="2" t="str">
        <f t="shared" si="50"/>
        <v>Portugal-CPI YoY</v>
      </c>
      <c r="B519" s="8" t="s">
        <v>456</v>
      </c>
      <c r="C519" s="8" t="s">
        <v>859</v>
      </c>
      <c r="D519" s="8" t="s">
        <v>859</v>
      </c>
      <c r="E519" s="8" t="s">
        <v>103</v>
      </c>
      <c r="F519" s="8"/>
      <c r="G519" s="8"/>
      <c r="H519" s="8" t="s">
        <v>775</v>
      </c>
    </row>
    <row r="520" spans="1:8" x14ac:dyDescent="0.3">
      <c r="A520" s="2" t="str">
        <f t="shared" si="50"/>
        <v>Spain-CPI YoY</v>
      </c>
      <c r="B520" s="8" t="s">
        <v>510</v>
      </c>
      <c r="C520" s="8" t="s">
        <v>859</v>
      </c>
      <c r="D520" s="8" t="s">
        <v>859</v>
      </c>
      <c r="E520" s="8" t="s">
        <v>103</v>
      </c>
      <c r="F520" s="8"/>
      <c r="G520" s="8"/>
      <c r="H520" s="8" t="s">
        <v>776</v>
      </c>
    </row>
    <row r="521" spans="1:8" x14ac:dyDescent="0.3">
      <c r="A521" s="2" t="str">
        <f t="shared" si="50"/>
        <v>Sweden-CPI YoY</v>
      </c>
      <c r="B521" s="8" t="s">
        <v>135</v>
      </c>
      <c r="C521" s="8" t="s">
        <v>859</v>
      </c>
      <c r="D521" s="8" t="s">
        <v>859</v>
      </c>
      <c r="E521" s="8" t="s">
        <v>103</v>
      </c>
      <c r="F521" s="8"/>
      <c r="G521" s="8"/>
      <c r="H521" s="8" t="s">
        <v>777</v>
      </c>
    </row>
    <row r="522" spans="1:8" x14ac:dyDescent="0.3">
      <c r="A522" s="2" t="str">
        <f t="shared" si="50"/>
        <v>Switzerland-CPI YoY</v>
      </c>
      <c r="B522" s="8" t="s">
        <v>133</v>
      </c>
      <c r="C522" s="8" t="s">
        <v>859</v>
      </c>
      <c r="D522" s="8" t="s">
        <v>859</v>
      </c>
      <c r="E522" s="8" t="s">
        <v>103</v>
      </c>
      <c r="F522" s="8"/>
      <c r="G522" s="8"/>
      <c r="H522" s="8" t="s">
        <v>778</v>
      </c>
    </row>
    <row r="523" spans="1:8" x14ac:dyDescent="0.3">
      <c r="A523" s="2" t="str">
        <f t="shared" si="50"/>
        <v>United Kingdom-CPI YoY</v>
      </c>
      <c r="B523" s="8" t="s">
        <v>128</v>
      </c>
      <c r="C523" s="8" t="s">
        <v>859</v>
      </c>
      <c r="D523" s="8" t="s">
        <v>859</v>
      </c>
      <c r="E523" s="8" t="s">
        <v>103</v>
      </c>
      <c r="F523" s="8"/>
      <c r="G523" s="8"/>
      <c r="H523" s="8" t="s">
        <v>779</v>
      </c>
    </row>
    <row r="524" spans="1:8" x14ac:dyDescent="0.3">
      <c r="A524" s="2" t="str">
        <f t="shared" si="50"/>
        <v>Armenia-CPI YoY</v>
      </c>
      <c r="B524" s="8" t="s">
        <v>161</v>
      </c>
      <c r="C524" s="8" t="s">
        <v>859</v>
      </c>
      <c r="D524" s="8" t="s">
        <v>859</v>
      </c>
      <c r="E524" s="8" t="s">
        <v>103</v>
      </c>
      <c r="F524" s="8"/>
      <c r="G524" s="8"/>
      <c r="H524" s="8" t="s">
        <v>780</v>
      </c>
    </row>
    <row r="525" spans="1:8" x14ac:dyDescent="0.3">
      <c r="A525" s="2" t="str">
        <f t="shared" si="50"/>
        <v>Belarus-CPI YoY</v>
      </c>
      <c r="B525" s="8" t="s">
        <v>178</v>
      </c>
      <c r="C525" s="8" t="s">
        <v>859</v>
      </c>
      <c r="D525" s="8" t="s">
        <v>859</v>
      </c>
      <c r="E525" s="8" t="s">
        <v>103</v>
      </c>
      <c r="F525" s="8"/>
      <c r="G525" s="8"/>
      <c r="H525" s="8" t="s">
        <v>781</v>
      </c>
    </row>
    <row r="526" spans="1:8" x14ac:dyDescent="0.3">
      <c r="A526" s="2" t="str">
        <f t="shared" si="50"/>
        <v>Bosnia &amp; Herzegovina-CPI YoY</v>
      </c>
      <c r="B526" s="8" t="s">
        <v>782</v>
      </c>
      <c r="C526" s="8" t="s">
        <v>859</v>
      </c>
      <c r="D526" s="8" t="s">
        <v>859</v>
      </c>
      <c r="E526" s="8" t="s">
        <v>103</v>
      </c>
      <c r="F526" s="8"/>
      <c r="G526" s="8"/>
      <c r="H526" s="8" t="s">
        <v>783</v>
      </c>
    </row>
    <row r="527" spans="1:8" x14ac:dyDescent="0.3">
      <c r="A527" s="2" t="str">
        <f t="shared" si="50"/>
        <v>Bulgaria-CPI YoY</v>
      </c>
      <c r="B527" s="8" t="s">
        <v>202</v>
      </c>
      <c r="C527" s="8" t="s">
        <v>859</v>
      </c>
      <c r="D527" s="8" t="s">
        <v>859</v>
      </c>
      <c r="E527" s="8" t="s">
        <v>103</v>
      </c>
      <c r="F527" s="8"/>
      <c r="G527" s="8"/>
      <c r="H527" s="8" t="s">
        <v>784</v>
      </c>
    </row>
    <row r="528" spans="1:8" x14ac:dyDescent="0.3">
      <c r="A528" s="2" t="str">
        <f t="shared" si="50"/>
        <v>Croatia-CPI YoY</v>
      </c>
      <c r="B528" s="8" t="s">
        <v>241</v>
      </c>
      <c r="C528" s="8" t="s">
        <v>859</v>
      </c>
      <c r="D528" s="8" t="s">
        <v>859</v>
      </c>
      <c r="E528" s="8" t="s">
        <v>103</v>
      </c>
      <c r="F528" s="8"/>
      <c r="G528" s="8"/>
      <c r="H528" s="8" t="s">
        <v>785</v>
      </c>
    </row>
    <row r="529" spans="1:8" x14ac:dyDescent="0.3">
      <c r="A529" s="2" t="str">
        <f t="shared" si="50"/>
        <v>Czech Republic-CPI YoY</v>
      </c>
      <c r="B529" s="8" t="s">
        <v>249</v>
      </c>
      <c r="C529" s="8" t="s">
        <v>859</v>
      </c>
      <c r="D529" s="8" t="s">
        <v>859</v>
      </c>
      <c r="E529" s="8" t="s">
        <v>103</v>
      </c>
      <c r="F529" s="8"/>
      <c r="G529" s="8"/>
      <c r="H529" s="8" t="s">
        <v>786</v>
      </c>
    </row>
    <row r="530" spans="1:8" x14ac:dyDescent="0.3">
      <c r="A530" s="2" t="str">
        <f t="shared" si="50"/>
        <v>Estonia-CPI YoY</v>
      </c>
      <c r="B530" s="8" t="s">
        <v>269</v>
      </c>
      <c r="C530" s="8" t="s">
        <v>859</v>
      </c>
      <c r="D530" s="8" t="s">
        <v>859</v>
      </c>
      <c r="E530" s="8" t="s">
        <v>103</v>
      </c>
      <c r="F530" s="8"/>
      <c r="G530" s="8"/>
      <c r="H530" s="8" t="s">
        <v>761</v>
      </c>
    </row>
    <row r="531" spans="1:8" x14ac:dyDescent="0.3">
      <c r="A531" s="2" t="str">
        <f t="shared" si="50"/>
        <v>Georgia-CPI YoY</v>
      </c>
      <c r="B531" s="8" t="s">
        <v>18</v>
      </c>
      <c r="C531" s="8" t="s">
        <v>859</v>
      </c>
      <c r="D531" s="8" t="s">
        <v>859</v>
      </c>
      <c r="E531" s="8" t="s">
        <v>103</v>
      </c>
      <c r="F531" s="8"/>
      <c r="G531" s="8"/>
      <c r="H531" s="8" t="s">
        <v>787</v>
      </c>
    </row>
    <row r="532" spans="1:8" x14ac:dyDescent="0.3">
      <c r="A532" s="2" t="str">
        <f t="shared" si="50"/>
        <v>Hungary-CPI YoY</v>
      </c>
      <c r="B532" s="8" t="s">
        <v>320</v>
      </c>
      <c r="C532" s="8" t="s">
        <v>859</v>
      </c>
      <c r="D532" s="8" t="s">
        <v>859</v>
      </c>
      <c r="E532" s="8" t="s">
        <v>103</v>
      </c>
      <c r="F532" s="8"/>
      <c r="G532" s="8"/>
      <c r="H532" s="8" t="s">
        <v>788</v>
      </c>
    </row>
    <row r="533" spans="1:8" x14ac:dyDescent="0.3">
      <c r="A533" s="2" t="str">
        <f t="shared" si="50"/>
        <v>Latvia-CPI YoY</v>
      </c>
      <c r="B533" s="8" t="s">
        <v>364</v>
      </c>
      <c r="C533" s="8" t="s">
        <v>859</v>
      </c>
      <c r="D533" s="8" t="s">
        <v>859</v>
      </c>
      <c r="E533" s="8" t="s">
        <v>103</v>
      </c>
      <c r="F533" s="8"/>
      <c r="G533" s="8"/>
      <c r="H533" s="8" t="s">
        <v>789</v>
      </c>
    </row>
    <row r="534" spans="1:8" x14ac:dyDescent="0.3">
      <c r="A534" s="2" t="str">
        <f t="shared" si="50"/>
        <v>Lithuania-CPI YoY</v>
      </c>
      <c r="B534" s="8" t="s">
        <v>376</v>
      </c>
      <c r="C534" s="8" t="s">
        <v>859</v>
      </c>
      <c r="D534" s="8" t="s">
        <v>859</v>
      </c>
      <c r="E534" s="8" t="s">
        <v>103</v>
      </c>
      <c r="F534" s="8"/>
      <c r="G534" s="8"/>
      <c r="H534" s="8" t="s">
        <v>790</v>
      </c>
    </row>
    <row r="535" spans="1:8" x14ac:dyDescent="0.3">
      <c r="A535" s="2" t="str">
        <f t="shared" si="50"/>
        <v>Moldova-CPI YoY</v>
      </c>
      <c r="B535" s="8" t="s">
        <v>406</v>
      </c>
      <c r="C535" s="8" t="s">
        <v>859</v>
      </c>
      <c r="D535" s="8" t="s">
        <v>859</v>
      </c>
      <c r="E535" s="8" t="s">
        <v>103</v>
      </c>
      <c r="F535" s="8"/>
      <c r="G535" s="8"/>
      <c r="H535" s="8" t="s">
        <v>791</v>
      </c>
    </row>
    <row r="536" spans="1:8" x14ac:dyDescent="0.3">
      <c r="A536" s="2" t="str">
        <f t="shared" si="50"/>
        <v>Poland-CPI YoY</v>
      </c>
      <c r="B536" s="8" t="s">
        <v>454</v>
      </c>
      <c r="C536" s="8" t="s">
        <v>859</v>
      </c>
      <c r="D536" s="8" t="s">
        <v>859</v>
      </c>
      <c r="E536" s="8" t="s">
        <v>103</v>
      </c>
      <c r="F536" s="8"/>
      <c r="G536" s="8"/>
      <c r="H536" s="8" t="s">
        <v>792</v>
      </c>
    </row>
    <row r="537" spans="1:8" x14ac:dyDescent="0.3">
      <c r="A537" s="2" t="str">
        <f t="shared" si="50"/>
        <v>Romania-CPI YoY</v>
      </c>
      <c r="B537" s="8" t="s">
        <v>462</v>
      </c>
      <c r="C537" s="8" t="s">
        <v>859</v>
      </c>
      <c r="D537" s="8" t="s">
        <v>859</v>
      </c>
      <c r="E537" s="8" t="s">
        <v>103</v>
      </c>
      <c r="F537" s="8"/>
      <c r="G537" s="8"/>
      <c r="H537" s="8" t="s">
        <v>793</v>
      </c>
    </row>
    <row r="538" spans="1:8" x14ac:dyDescent="0.3">
      <c r="A538" s="2" t="str">
        <f t="shared" si="50"/>
        <v>Russia-CPI YoY</v>
      </c>
      <c r="B538" s="8" t="s">
        <v>464</v>
      </c>
      <c r="C538" s="8" t="s">
        <v>859</v>
      </c>
      <c r="D538" s="8" t="s">
        <v>859</v>
      </c>
      <c r="E538" s="8" t="s">
        <v>103</v>
      </c>
      <c r="F538" s="8"/>
      <c r="G538" s="8"/>
      <c r="H538" s="8" t="s">
        <v>794</v>
      </c>
    </row>
    <row r="539" spans="1:8" x14ac:dyDescent="0.3">
      <c r="A539" s="2" t="str">
        <f t="shared" si="50"/>
        <v>Serbia-CPI YoY</v>
      </c>
      <c r="B539" s="8" t="s">
        <v>488</v>
      </c>
      <c r="C539" s="8" t="s">
        <v>859</v>
      </c>
      <c r="D539" s="8" t="s">
        <v>859</v>
      </c>
      <c r="E539" s="8" t="s">
        <v>103</v>
      </c>
      <c r="F539" s="8"/>
      <c r="G539" s="8"/>
      <c r="H539" s="8" t="s">
        <v>795</v>
      </c>
    </row>
    <row r="540" spans="1:8" x14ac:dyDescent="0.3">
      <c r="A540" s="2" t="str">
        <f t="shared" si="50"/>
        <v>Slovakia-CPI YoY</v>
      </c>
      <c r="B540" s="8" t="s">
        <v>498</v>
      </c>
      <c r="C540" s="8" t="s">
        <v>859</v>
      </c>
      <c r="D540" s="8" t="s">
        <v>859</v>
      </c>
      <c r="E540" s="8" t="s">
        <v>103</v>
      </c>
      <c r="F540" s="8"/>
      <c r="G540" s="8"/>
      <c r="H540" s="8" t="s">
        <v>796</v>
      </c>
    </row>
    <row r="541" spans="1:8" x14ac:dyDescent="0.3">
      <c r="A541" s="2" t="str">
        <f t="shared" si="50"/>
        <v>Slovenia-CPI YoY</v>
      </c>
      <c r="B541" s="8" t="s">
        <v>500</v>
      </c>
      <c r="C541" s="8" t="s">
        <v>859</v>
      </c>
      <c r="D541" s="8" t="s">
        <v>859</v>
      </c>
      <c r="E541" s="8" t="s">
        <v>103</v>
      </c>
      <c r="F541" s="8"/>
      <c r="G541" s="8"/>
      <c r="H541" s="8" t="s">
        <v>797</v>
      </c>
    </row>
    <row r="542" spans="1:8" x14ac:dyDescent="0.3">
      <c r="A542" s="2" t="str">
        <f t="shared" si="50"/>
        <v>Turkey-CPI YoY</v>
      </c>
      <c r="B542" s="8" t="s">
        <v>542</v>
      </c>
      <c r="C542" s="8" t="s">
        <v>859</v>
      </c>
      <c r="D542" s="8" t="s">
        <v>859</v>
      </c>
      <c r="E542" s="8" t="s">
        <v>103</v>
      </c>
      <c r="F542" s="8"/>
      <c r="G542" s="8"/>
      <c r="H542" s="8" t="s">
        <v>798</v>
      </c>
    </row>
    <row r="543" spans="1:8" x14ac:dyDescent="0.3">
      <c r="A543" s="2" t="str">
        <f t="shared" si="50"/>
        <v>Ukraine-CPI YoY</v>
      </c>
      <c r="B543" s="8" t="s">
        <v>550</v>
      </c>
      <c r="C543" s="8" t="s">
        <v>859</v>
      </c>
      <c r="D543" s="8" t="s">
        <v>859</v>
      </c>
      <c r="E543" s="8" t="s">
        <v>103</v>
      </c>
      <c r="F543" s="8"/>
      <c r="G543" s="8"/>
      <c r="H543" s="8" t="s">
        <v>799</v>
      </c>
    </row>
    <row r="544" spans="1:8" x14ac:dyDescent="0.3">
      <c r="A544" s="2" t="str">
        <f t="shared" si="50"/>
        <v>Abu Dhabi-CPI YoY</v>
      </c>
      <c r="B544" s="8" t="s">
        <v>800</v>
      </c>
      <c r="C544" s="8" t="s">
        <v>859</v>
      </c>
      <c r="D544" s="8" t="s">
        <v>859</v>
      </c>
      <c r="E544" s="8" t="s">
        <v>103</v>
      </c>
      <c r="F544" s="8"/>
      <c r="G544" s="8"/>
      <c r="H544" s="8" t="s">
        <v>801</v>
      </c>
    </row>
    <row r="545" spans="1:8" x14ac:dyDescent="0.3">
      <c r="A545" s="2" t="str">
        <f t="shared" si="50"/>
        <v>Algeria-CPI YoY</v>
      </c>
      <c r="B545" s="8" t="s">
        <v>147</v>
      </c>
      <c r="C545" s="8" t="s">
        <v>859</v>
      </c>
      <c r="D545" s="8" t="s">
        <v>859</v>
      </c>
      <c r="E545" s="8" t="s">
        <v>103</v>
      </c>
      <c r="F545" s="8"/>
      <c r="G545" s="8"/>
      <c r="H545" s="8" t="s">
        <v>802</v>
      </c>
    </row>
    <row r="546" spans="1:8" x14ac:dyDescent="0.3">
      <c r="A546" s="2" t="str">
        <f t="shared" si="50"/>
        <v>Angola-CPI YoY</v>
      </c>
      <c r="B546" s="8" t="s">
        <v>153</v>
      </c>
      <c r="C546" s="8" t="s">
        <v>859</v>
      </c>
      <c r="D546" s="8" t="s">
        <v>859</v>
      </c>
      <c r="E546" s="8" t="s">
        <v>103</v>
      </c>
      <c r="F546" s="8"/>
      <c r="G546" s="8"/>
      <c r="H546" s="8" t="s">
        <v>803</v>
      </c>
    </row>
    <row r="547" spans="1:8" x14ac:dyDescent="0.3">
      <c r="A547" s="2" t="str">
        <f t="shared" si="50"/>
        <v>Bahrain-CPI YoY</v>
      </c>
      <c r="B547" s="8" t="s">
        <v>172</v>
      </c>
      <c r="C547" s="8" t="s">
        <v>859</v>
      </c>
      <c r="D547" s="8" t="s">
        <v>859</v>
      </c>
      <c r="E547" s="8" t="s">
        <v>103</v>
      </c>
      <c r="F547" s="8"/>
      <c r="G547" s="8"/>
      <c r="H547" s="8" t="s">
        <v>804</v>
      </c>
    </row>
    <row r="548" spans="1:8" x14ac:dyDescent="0.3">
      <c r="A548" s="2" t="str">
        <f t="shared" si="50"/>
        <v>Botswana-CPI YoY</v>
      </c>
      <c r="B548" s="8" t="s">
        <v>194</v>
      </c>
      <c r="C548" s="8" t="s">
        <v>859</v>
      </c>
      <c r="D548" s="8" t="s">
        <v>859</v>
      </c>
      <c r="E548" s="8" t="s">
        <v>103</v>
      </c>
      <c r="F548" s="8"/>
      <c r="G548" s="8"/>
      <c r="H548" s="8" t="s">
        <v>805</v>
      </c>
    </row>
    <row r="549" spans="1:8" x14ac:dyDescent="0.3">
      <c r="A549" s="2" t="str">
        <f t="shared" si="50"/>
        <v>Egypt-CPI YoY</v>
      </c>
      <c r="B549" s="8" t="s">
        <v>261</v>
      </c>
      <c r="C549" s="8" t="s">
        <v>859</v>
      </c>
      <c r="D549" s="8" t="s">
        <v>859</v>
      </c>
      <c r="E549" s="8" t="s">
        <v>103</v>
      </c>
      <c r="F549" s="8"/>
      <c r="G549" s="8"/>
      <c r="H549" s="8" t="s">
        <v>806</v>
      </c>
    </row>
    <row r="550" spans="1:8" x14ac:dyDescent="0.3">
      <c r="A550" s="2" t="str">
        <f t="shared" si="50"/>
        <v>Ghana-CPI YoY</v>
      </c>
      <c r="B550" s="8" t="s">
        <v>292</v>
      </c>
      <c r="C550" s="8" t="s">
        <v>859</v>
      </c>
      <c r="D550" s="8" t="s">
        <v>859</v>
      </c>
      <c r="E550" s="8" t="s">
        <v>103</v>
      </c>
      <c r="F550" s="8"/>
      <c r="G550" s="8"/>
      <c r="H550" s="8" t="s">
        <v>807</v>
      </c>
    </row>
    <row r="551" spans="1:8" x14ac:dyDescent="0.3">
      <c r="A551" s="2" t="str">
        <f t="shared" si="50"/>
        <v>Iran-CPI YoY</v>
      </c>
      <c r="B551" s="8" t="s">
        <v>328</v>
      </c>
      <c r="C551" s="8" t="s">
        <v>859</v>
      </c>
      <c r="D551" s="8" t="s">
        <v>859</v>
      </c>
      <c r="E551" s="8" t="s">
        <v>103</v>
      </c>
      <c r="F551" s="8"/>
      <c r="G551" s="8"/>
      <c r="H551" s="8" t="s">
        <v>808</v>
      </c>
    </row>
    <row r="552" spans="1:8" x14ac:dyDescent="0.3">
      <c r="A552" s="2" t="str">
        <f t="shared" si="50"/>
        <v>Iraq-CPI YoY</v>
      </c>
      <c r="B552" s="8" t="s">
        <v>330</v>
      </c>
      <c r="C552" s="8" t="s">
        <v>859</v>
      </c>
      <c r="D552" s="8" t="s">
        <v>859</v>
      </c>
      <c r="E552" s="8" t="s">
        <v>103</v>
      </c>
      <c r="F552" s="8"/>
      <c r="G552" s="8"/>
      <c r="H552" s="8" t="s">
        <v>809</v>
      </c>
    </row>
    <row r="553" spans="1:8" x14ac:dyDescent="0.3">
      <c r="A553" s="2" t="str">
        <f t="shared" si="50"/>
        <v>Israel-CPI YoY</v>
      </c>
      <c r="B553" s="8" t="s">
        <v>336</v>
      </c>
      <c r="C553" s="8" t="s">
        <v>859</v>
      </c>
      <c r="D553" s="8" t="s">
        <v>859</v>
      </c>
      <c r="E553" s="8" t="s">
        <v>103</v>
      </c>
      <c r="F553" s="8"/>
      <c r="G553" s="8"/>
      <c r="H553" s="8" t="s">
        <v>810</v>
      </c>
    </row>
    <row r="554" spans="1:8" x14ac:dyDescent="0.3">
      <c r="A554" s="2" t="str">
        <f t="shared" si="50"/>
        <v>Jordan-CPI YoY</v>
      </c>
      <c r="B554" s="8" t="s">
        <v>345</v>
      </c>
      <c r="C554" s="8" t="s">
        <v>859</v>
      </c>
      <c r="D554" s="8" t="s">
        <v>859</v>
      </c>
      <c r="E554" s="8" t="s">
        <v>103</v>
      </c>
      <c r="F554" s="8"/>
      <c r="G554" s="8"/>
      <c r="H554" s="8" t="s">
        <v>811</v>
      </c>
    </row>
    <row r="555" spans="1:8" x14ac:dyDescent="0.3">
      <c r="A555" s="2" t="str">
        <f t="shared" si="50"/>
        <v>Kenya-CPI YoY</v>
      </c>
      <c r="B555" s="8" t="s">
        <v>349</v>
      </c>
      <c r="C555" s="8" t="s">
        <v>859</v>
      </c>
      <c r="D555" s="8" t="s">
        <v>859</v>
      </c>
      <c r="E555" s="8" t="s">
        <v>103</v>
      </c>
      <c r="F555" s="8"/>
      <c r="G555" s="8"/>
      <c r="H555" s="8" t="s">
        <v>812</v>
      </c>
    </row>
    <row r="556" spans="1:8" x14ac:dyDescent="0.3">
      <c r="A556" s="2" t="str">
        <f t="shared" si="50"/>
        <v>Kuwait-CPI YoY</v>
      </c>
      <c r="B556" s="8" t="s">
        <v>358</v>
      </c>
      <c r="C556" s="8" t="s">
        <v>859</v>
      </c>
      <c r="D556" s="8" t="s">
        <v>859</v>
      </c>
      <c r="E556" s="8" t="s">
        <v>103</v>
      </c>
      <c r="F556" s="8"/>
      <c r="G556" s="8"/>
      <c r="H556" s="8" t="s">
        <v>813</v>
      </c>
    </row>
    <row r="557" spans="1:8" x14ac:dyDescent="0.3">
      <c r="A557" s="2" t="str">
        <f t="shared" si="50"/>
        <v>Lebanon-CPI YoY</v>
      </c>
      <c r="B557" s="8" t="s">
        <v>366</v>
      </c>
      <c r="C557" s="8" t="s">
        <v>859</v>
      </c>
      <c r="D557" s="8" t="s">
        <v>859</v>
      </c>
      <c r="E557" s="8" t="s">
        <v>103</v>
      </c>
      <c r="F557" s="8"/>
      <c r="G557" s="8"/>
      <c r="H557" s="8" t="s">
        <v>814</v>
      </c>
    </row>
    <row r="558" spans="1:8" x14ac:dyDescent="0.3">
      <c r="A558" s="2" t="str">
        <f t="shared" si="50"/>
        <v>Morocco-CPI YoY</v>
      </c>
      <c r="B558" s="8" t="s">
        <v>414</v>
      </c>
      <c r="C558" s="8" t="s">
        <v>859</v>
      </c>
      <c r="D558" s="8" t="s">
        <v>859</v>
      </c>
      <c r="E558" s="8" t="s">
        <v>103</v>
      </c>
      <c r="F558" s="8"/>
      <c r="G558" s="8"/>
      <c r="H558" s="8" t="s">
        <v>815</v>
      </c>
    </row>
    <row r="559" spans="1:8" x14ac:dyDescent="0.3">
      <c r="A559" s="2" t="str">
        <f t="shared" si="50"/>
        <v>Namibia-CPI YoY</v>
      </c>
      <c r="B559" s="8" t="s">
        <v>418</v>
      </c>
      <c r="C559" s="8" t="s">
        <v>859</v>
      </c>
      <c r="D559" s="8" t="s">
        <v>859</v>
      </c>
      <c r="E559" s="8" t="s">
        <v>103</v>
      </c>
      <c r="F559" s="8"/>
      <c r="G559" s="8"/>
      <c r="H559" s="8" t="s">
        <v>816</v>
      </c>
    </row>
    <row r="560" spans="1:8" x14ac:dyDescent="0.3">
      <c r="A560" s="2" t="str">
        <f t="shared" si="50"/>
        <v>Nigeria-CPI YoY</v>
      </c>
      <c r="B560" s="8" t="s">
        <v>429</v>
      </c>
      <c r="C560" s="8" t="s">
        <v>859</v>
      </c>
      <c r="D560" s="8" t="s">
        <v>859</v>
      </c>
      <c r="E560" s="8" t="s">
        <v>103</v>
      </c>
      <c r="F560" s="8"/>
      <c r="G560" s="8"/>
      <c r="H560" s="8" t="s">
        <v>817</v>
      </c>
    </row>
    <row r="561" spans="1:8" x14ac:dyDescent="0.3">
      <c r="A561" s="2" t="str">
        <f t="shared" si="50"/>
        <v>Oman-CPI YoY</v>
      </c>
      <c r="B561" s="8" t="s">
        <v>438</v>
      </c>
      <c r="C561" s="8" t="s">
        <v>859</v>
      </c>
      <c r="D561" s="8" t="s">
        <v>859</v>
      </c>
      <c r="E561" s="8" t="s">
        <v>103</v>
      </c>
      <c r="F561" s="8"/>
      <c r="G561" s="8"/>
      <c r="H561" s="8" t="s">
        <v>818</v>
      </c>
    </row>
    <row r="562" spans="1:8" x14ac:dyDescent="0.3">
      <c r="A562" s="2" t="str">
        <f t="shared" si="50"/>
        <v>Qatar-CPI YoY</v>
      </c>
      <c r="B562" s="8" t="s">
        <v>460</v>
      </c>
      <c r="C562" s="8" t="s">
        <v>859</v>
      </c>
      <c r="D562" s="8" t="s">
        <v>859</v>
      </c>
      <c r="E562" s="8" t="s">
        <v>103</v>
      </c>
      <c r="F562" s="8"/>
      <c r="G562" s="8"/>
      <c r="H562" s="8" t="s">
        <v>819</v>
      </c>
    </row>
    <row r="563" spans="1:8" x14ac:dyDescent="0.3">
      <c r="A563" s="2" t="str">
        <f t="shared" si="50"/>
        <v>Saudi Arabia-CPI YoY</v>
      </c>
      <c r="B563" s="8" t="s">
        <v>484</v>
      </c>
      <c r="C563" s="8" t="s">
        <v>859</v>
      </c>
      <c r="D563" s="8" t="s">
        <v>859</v>
      </c>
      <c r="E563" s="8" t="s">
        <v>103</v>
      </c>
      <c r="F563" s="8"/>
      <c r="G563" s="8"/>
      <c r="H563" s="8" t="s">
        <v>820</v>
      </c>
    </row>
    <row r="564" spans="1:8" x14ac:dyDescent="0.3">
      <c r="A564" s="2" t="str">
        <f t="shared" si="50"/>
        <v>Senegal-CPI YoY</v>
      </c>
      <c r="B564" s="8" t="s">
        <v>486</v>
      </c>
      <c r="C564" s="8" t="s">
        <v>859</v>
      </c>
      <c r="D564" s="8" t="s">
        <v>859</v>
      </c>
      <c r="E564" s="8" t="s">
        <v>103</v>
      </c>
      <c r="F564" s="8"/>
      <c r="G564" s="8"/>
      <c r="H564" s="8" t="s">
        <v>821</v>
      </c>
    </row>
    <row r="565" spans="1:8" x14ac:dyDescent="0.3">
      <c r="A565" s="2" t="str">
        <f t="shared" si="50"/>
        <v>South Africa-CPI YoY</v>
      </c>
      <c r="B565" s="8" t="s">
        <v>506</v>
      </c>
      <c r="C565" s="8" t="s">
        <v>859</v>
      </c>
      <c r="D565" s="8" t="s">
        <v>859</v>
      </c>
      <c r="E565" s="8" t="s">
        <v>103</v>
      </c>
      <c r="F565" s="8"/>
      <c r="G565" s="8"/>
      <c r="H565" s="8" t="s">
        <v>822</v>
      </c>
    </row>
    <row r="566" spans="1:8" x14ac:dyDescent="0.3">
      <c r="A566" s="2" t="str">
        <f t="shared" si="50"/>
        <v>Tunisia-CPI YoY</v>
      </c>
      <c r="B566" s="8" t="s">
        <v>540</v>
      </c>
      <c r="C566" s="8" t="s">
        <v>859</v>
      </c>
      <c r="D566" s="8" t="s">
        <v>859</v>
      </c>
      <c r="E566" s="8" t="s">
        <v>103</v>
      </c>
      <c r="F566" s="8"/>
      <c r="G566" s="8"/>
      <c r="H566" s="8" t="s">
        <v>823</v>
      </c>
    </row>
    <row r="567" spans="1:8" x14ac:dyDescent="0.3">
      <c r="A567" s="2" t="str">
        <f t="shared" si="50"/>
        <v>United Arab Emirates-CPI YoY</v>
      </c>
      <c r="B567" s="8" t="s">
        <v>552</v>
      </c>
      <c r="C567" s="8" t="s">
        <v>859</v>
      </c>
      <c r="D567" s="8" t="s">
        <v>859</v>
      </c>
      <c r="E567" s="8" t="s">
        <v>103</v>
      </c>
      <c r="F567" s="8"/>
      <c r="G567" s="8"/>
      <c r="H567" s="8" t="s">
        <v>824</v>
      </c>
    </row>
    <row r="568" spans="1:8" x14ac:dyDescent="0.3">
      <c r="A568" s="2" t="str">
        <f t="shared" si="50"/>
        <v>Uganda-CPI YoY</v>
      </c>
      <c r="B568" s="8" t="s">
        <v>548</v>
      </c>
      <c r="C568" s="8" t="s">
        <v>859</v>
      </c>
      <c r="D568" s="8" t="s">
        <v>859</v>
      </c>
      <c r="E568" s="8" t="s">
        <v>103</v>
      </c>
      <c r="F568" s="8"/>
      <c r="G568" s="8"/>
      <c r="H568" s="8" t="s">
        <v>825</v>
      </c>
    </row>
    <row r="569" spans="1:8" x14ac:dyDescent="0.3">
      <c r="A569" s="2" t="str">
        <f t="shared" si="50"/>
        <v>Yemen-CPI YoY</v>
      </c>
      <c r="B569" s="8" t="s">
        <v>569</v>
      </c>
      <c r="C569" s="8" t="s">
        <v>859</v>
      </c>
      <c r="D569" s="8" t="s">
        <v>859</v>
      </c>
      <c r="E569" s="8" t="s">
        <v>103</v>
      </c>
      <c r="F569" s="8"/>
      <c r="G569" s="8"/>
      <c r="H569" s="8" t="s">
        <v>826</v>
      </c>
    </row>
    <row r="570" spans="1:8" x14ac:dyDescent="0.3">
      <c r="A570" s="2" t="str">
        <f t="shared" si="50"/>
        <v>Zambia-CPI YoY</v>
      </c>
      <c r="B570" s="8" t="s">
        <v>571</v>
      </c>
      <c r="C570" s="8" t="s">
        <v>859</v>
      </c>
      <c r="D570" s="8" t="s">
        <v>859</v>
      </c>
      <c r="E570" s="8" t="s">
        <v>103</v>
      </c>
      <c r="F570" s="8"/>
      <c r="G570" s="8"/>
      <c r="H570" s="8" t="s">
        <v>827</v>
      </c>
    </row>
    <row r="571" spans="1:8" x14ac:dyDescent="0.3">
      <c r="A571" s="2" t="str">
        <f t="shared" si="50"/>
        <v>Zimbabwe-CPI YoY</v>
      </c>
      <c r="B571" s="8" t="s">
        <v>573</v>
      </c>
      <c r="C571" s="8" t="s">
        <v>859</v>
      </c>
      <c r="D571" s="8" t="s">
        <v>859</v>
      </c>
      <c r="E571" s="8" t="s">
        <v>103</v>
      </c>
      <c r="F571" s="8"/>
      <c r="G571" s="8"/>
      <c r="H571" s="8" t="s">
        <v>828</v>
      </c>
    </row>
    <row r="572" spans="1:8" x14ac:dyDescent="0.3">
      <c r="A572" s="2" t="str">
        <f t="shared" si="50"/>
        <v>Australia-CPI YoY</v>
      </c>
      <c r="B572" s="8" t="s">
        <v>129</v>
      </c>
      <c r="C572" s="8" t="s">
        <v>859</v>
      </c>
      <c r="D572" s="8" t="s">
        <v>859</v>
      </c>
      <c r="E572" s="8" t="s">
        <v>103</v>
      </c>
      <c r="F572" s="8"/>
      <c r="G572" s="8"/>
      <c r="H572" s="8" t="s">
        <v>829</v>
      </c>
    </row>
    <row r="573" spans="1:8" x14ac:dyDescent="0.3">
      <c r="A573" s="2" t="str">
        <f t="shared" si="50"/>
        <v>Azerbaijan-CPI YoY</v>
      </c>
      <c r="B573" s="8" t="s">
        <v>168</v>
      </c>
      <c r="C573" s="8" t="s">
        <v>859</v>
      </c>
      <c r="D573" s="8" t="s">
        <v>859</v>
      </c>
      <c r="E573" s="8" t="s">
        <v>103</v>
      </c>
      <c r="F573" s="8"/>
      <c r="G573" s="8"/>
      <c r="H573" s="8" t="s">
        <v>830</v>
      </c>
    </row>
    <row r="574" spans="1:8" x14ac:dyDescent="0.3">
      <c r="A574" s="2" t="str">
        <f t="shared" si="50"/>
        <v>Bangladesh-CPI YoY</v>
      </c>
      <c r="B574" s="8" t="s">
        <v>174</v>
      </c>
      <c r="C574" s="8" t="s">
        <v>859</v>
      </c>
      <c r="D574" s="8" t="s">
        <v>859</v>
      </c>
      <c r="E574" s="8" t="s">
        <v>103</v>
      </c>
      <c r="F574" s="8"/>
      <c r="G574" s="8"/>
      <c r="H574" s="8" t="s">
        <v>831</v>
      </c>
    </row>
    <row r="575" spans="1:8" x14ac:dyDescent="0.3">
      <c r="A575" s="2" t="str">
        <f t="shared" si="50"/>
        <v>Cambodia-CPI YoY</v>
      </c>
      <c r="B575" s="8" t="s">
        <v>212</v>
      </c>
      <c r="C575" s="8" t="s">
        <v>859</v>
      </c>
      <c r="D575" s="8" t="s">
        <v>859</v>
      </c>
      <c r="E575" s="8" t="s">
        <v>103</v>
      </c>
      <c r="F575" s="8"/>
      <c r="G575" s="8"/>
      <c r="H575" s="8" t="s">
        <v>832</v>
      </c>
    </row>
    <row r="576" spans="1:8" x14ac:dyDescent="0.3">
      <c r="A576" s="2" t="str">
        <f t="shared" si="50"/>
        <v>China-CPI YoY</v>
      </c>
      <c r="B576" s="8" t="s">
        <v>225</v>
      </c>
      <c r="C576" s="8" t="s">
        <v>859</v>
      </c>
      <c r="D576" s="8" t="s">
        <v>859</v>
      </c>
      <c r="E576" s="8" t="s">
        <v>103</v>
      </c>
      <c r="F576" s="8"/>
      <c r="G576" s="8"/>
      <c r="H576" s="8" t="s">
        <v>833</v>
      </c>
    </row>
    <row r="577" spans="1:8" x14ac:dyDescent="0.3">
      <c r="A577" s="2" t="str">
        <f t="shared" si="50"/>
        <v>Fiji-CPI YoY</v>
      </c>
      <c r="B577" s="8" t="s">
        <v>277</v>
      </c>
      <c r="C577" s="8" t="s">
        <v>859</v>
      </c>
      <c r="D577" s="8" t="s">
        <v>859</v>
      </c>
      <c r="E577" s="8" t="s">
        <v>103</v>
      </c>
      <c r="F577" s="8"/>
      <c r="G577" s="8"/>
      <c r="H577" s="8" t="s">
        <v>834</v>
      </c>
    </row>
    <row r="578" spans="1:8" x14ac:dyDescent="0.3">
      <c r="A578" s="2" t="str">
        <f t="shared" si="50"/>
        <v>Hong Kong-CPI YoY</v>
      </c>
      <c r="B578" s="8" t="s">
        <v>318</v>
      </c>
      <c r="C578" s="8" t="s">
        <v>859</v>
      </c>
      <c r="D578" s="8" t="s">
        <v>859</v>
      </c>
      <c r="E578" s="8" t="s">
        <v>103</v>
      </c>
      <c r="F578" s="8"/>
      <c r="G578" s="8"/>
      <c r="H578" s="8" t="s">
        <v>835</v>
      </c>
    </row>
    <row r="579" spans="1:8" x14ac:dyDescent="0.3">
      <c r="A579" s="2" t="str">
        <f t="shared" ref="A579:A642" si="51">B579&amp;"-"&amp;C579</f>
        <v>India-CPI YoY</v>
      </c>
      <c r="B579" s="8" t="s">
        <v>324</v>
      </c>
      <c r="C579" s="8" t="s">
        <v>859</v>
      </c>
      <c r="D579" s="8" t="s">
        <v>859</v>
      </c>
      <c r="E579" s="8" t="s">
        <v>103</v>
      </c>
      <c r="F579" s="8"/>
      <c r="G579" s="8"/>
      <c r="H579" s="8" t="s">
        <v>836</v>
      </c>
    </row>
    <row r="580" spans="1:8" x14ac:dyDescent="0.3">
      <c r="A580" s="2" t="str">
        <f t="shared" si="51"/>
        <v>Indonesia-CPI YoY</v>
      </c>
      <c r="B580" s="8" t="s">
        <v>326</v>
      </c>
      <c r="C580" s="8" t="s">
        <v>859</v>
      </c>
      <c r="D580" s="8" t="s">
        <v>859</v>
      </c>
      <c r="E580" s="8" t="s">
        <v>103</v>
      </c>
      <c r="F580" s="8"/>
      <c r="G580" s="8"/>
      <c r="H580" s="8" t="s">
        <v>837</v>
      </c>
    </row>
    <row r="581" spans="1:8" x14ac:dyDescent="0.3">
      <c r="A581" s="2" t="str">
        <f t="shared" si="51"/>
        <v>Japan-CPI YoY</v>
      </c>
      <c r="B581" s="8" t="s">
        <v>136</v>
      </c>
      <c r="C581" s="8" t="s">
        <v>859</v>
      </c>
      <c r="D581" s="8" t="s">
        <v>859</v>
      </c>
      <c r="E581" s="8" t="s">
        <v>103</v>
      </c>
      <c r="F581" s="8"/>
      <c r="G581" s="8"/>
      <c r="H581" s="8" t="s">
        <v>838</v>
      </c>
    </row>
    <row r="582" spans="1:8" x14ac:dyDescent="0.3">
      <c r="A582" s="2" t="str">
        <f t="shared" si="51"/>
        <v>Kazakhstan-CPI YoY</v>
      </c>
      <c r="B582" s="8" t="s">
        <v>347</v>
      </c>
      <c r="C582" s="8" t="s">
        <v>859</v>
      </c>
      <c r="D582" s="8" t="s">
        <v>859</v>
      </c>
      <c r="E582" s="8" t="s">
        <v>103</v>
      </c>
      <c r="F582" s="8"/>
      <c r="G582" s="8"/>
      <c r="H582" s="8" t="s">
        <v>839</v>
      </c>
    </row>
    <row r="583" spans="1:8" x14ac:dyDescent="0.3">
      <c r="A583" s="2" t="str">
        <f t="shared" si="51"/>
        <v>Kyrgyzstan-CPI YoY</v>
      </c>
      <c r="B583" s="8" t="s">
        <v>360</v>
      </c>
      <c r="C583" s="8" t="s">
        <v>859</v>
      </c>
      <c r="D583" s="8" t="s">
        <v>859</v>
      </c>
      <c r="E583" s="8" t="s">
        <v>103</v>
      </c>
      <c r="F583" s="8"/>
      <c r="G583" s="8"/>
      <c r="H583" s="8" t="s">
        <v>840</v>
      </c>
    </row>
    <row r="584" spans="1:8" x14ac:dyDescent="0.3">
      <c r="A584" s="2" t="str">
        <f t="shared" si="51"/>
        <v>Macau-CPI YoY</v>
      </c>
      <c r="B584" s="8" t="s">
        <v>380</v>
      </c>
      <c r="C584" s="8" t="s">
        <v>859</v>
      </c>
      <c r="D584" s="8" t="s">
        <v>859</v>
      </c>
      <c r="E584" s="8" t="s">
        <v>103</v>
      </c>
      <c r="F584" s="8"/>
      <c r="G584" s="8"/>
      <c r="H584" s="8" t="s">
        <v>841</v>
      </c>
    </row>
    <row r="585" spans="1:8" x14ac:dyDescent="0.3">
      <c r="A585" s="2" t="str">
        <f t="shared" si="51"/>
        <v>Malaysia-CPI YoY</v>
      </c>
      <c r="B585" s="8" t="s">
        <v>388</v>
      </c>
      <c r="C585" s="8" t="s">
        <v>859</v>
      </c>
      <c r="D585" s="8" t="s">
        <v>859</v>
      </c>
      <c r="E585" s="8" t="s">
        <v>103</v>
      </c>
      <c r="F585" s="8"/>
      <c r="G585" s="8"/>
      <c r="H585" s="8" t="s">
        <v>842</v>
      </c>
    </row>
    <row r="586" spans="1:8" x14ac:dyDescent="0.3">
      <c r="A586" s="2" t="str">
        <f t="shared" si="51"/>
        <v>Maldives-CPI YoY</v>
      </c>
      <c r="B586" s="8" t="s">
        <v>390</v>
      </c>
      <c r="C586" s="8" t="s">
        <v>859</v>
      </c>
      <c r="D586" s="8" t="s">
        <v>859</v>
      </c>
      <c r="E586" s="8" t="s">
        <v>103</v>
      </c>
      <c r="F586" s="8"/>
      <c r="G586" s="8"/>
      <c r="H586" s="8" t="s">
        <v>843</v>
      </c>
    </row>
    <row r="587" spans="1:8" x14ac:dyDescent="0.3">
      <c r="A587" s="2" t="str">
        <f t="shared" si="51"/>
        <v>Mongolia-CPI YoY</v>
      </c>
      <c r="B587" s="8" t="s">
        <v>410</v>
      </c>
      <c r="C587" s="8" t="s">
        <v>859</v>
      </c>
      <c r="D587" s="8" t="s">
        <v>859</v>
      </c>
      <c r="E587" s="8" t="s">
        <v>103</v>
      </c>
      <c r="F587" s="8"/>
      <c r="G587" s="8"/>
      <c r="H587" s="8" t="s">
        <v>844</v>
      </c>
    </row>
    <row r="588" spans="1:8" x14ac:dyDescent="0.3">
      <c r="A588" s="2" t="str">
        <f t="shared" si="51"/>
        <v>Myanmar-CPI YoY</v>
      </c>
      <c r="B588" s="8" t="s">
        <v>845</v>
      </c>
      <c r="C588" s="8" t="s">
        <v>859</v>
      </c>
      <c r="D588" s="8" t="s">
        <v>859</v>
      </c>
      <c r="E588" s="8" t="s">
        <v>103</v>
      </c>
      <c r="F588" s="8"/>
      <c r="G588" s="8"/>
      <c r="H588" s="8" t="s">
        <v>846</v>
      </c>
    </row>
    <row r="589" spans="1:8" x14ac:dyDescent="0.3">
      <c r="A589" s="2" t="str">
        <f t="shared" si="51"/>
        <v>Pakistan-CPI YoY</v>
      </c>
      <c r="B589" s="8" t="s">
        <v>440</v>
      </c>
      <c r="C589" s="8" t="s">
        <v>859</v>
      </c>
      <c r="D589" s="8" t="s">
        <v>859</v>
      </c>
      <c r="E589" s="8" t="s">
        <v>103</v>
      </c>
      <c r="F589" s="8"/>
      <c r="G589" s="8"/>
      <c r="H589" s="8" t="s">
        <v>847</v>
      </c>
    </row>
    <row r="590" spans="1:8" x14ac:dyDescent="0.3">
      <c r="A590" s="2" t="str">
        <f t="shared" si="51"/>
        <v>Nepal-CPI YoY</v>
      </c>
      <c r="B590" s="8" t="s">
        <v>420</v>
      </c>
      <c r="C590" s="8" t="s">
        <v>859</v>
      </c>
      <c r="D590" s="8" t="s">
        <v>859</v>
      </c>
      <c r="E590" s="8" t="s">
        <v>103</v>
      </c>
      <c r="F590" s="8"/>
      <c r="G590" s="8"/>
      <c r="H590" s="8" t="s">
        <v>848</v>
      </c>
    </row>
    <row r="591" spans="1:8" x14ac:dyDescent="0.3">
      <c r="A591" s="2" t="str">
        <f t="shared" si="51"/>
        <v>New Zealand-CPI YoY</v>
      </c>
      <c r="B591" s="8" t="s">
        <v>130</v>
      </c>
      <c r="C591" s="8" t="s">
        <v>859</v>
      </c>
      <c r="D591" s="8" t="s">
        <v>859</v>
      </c>
      <c r="E591" s="8" t="s">
        <v>103</v>
      </c>
      <c r="F591" s="8"/>
      <c r="G591" s="8"/>
      <c r="H591" s="8" t="s">
        <v>849</v>
      </c>
    </row>
    <row r="592" spans="1:8" x14ac:dyDescent="0.3">
      <c r="A592" s="2" t="str">
        <f t="shared" si="51"/>
        <v>Pakistan-CPI YoY</v>
      </c>
      <c r="B592" s="8" t="s">
        <v>440</v>
      </c>
      <c r="C592" s="8" t="s">
        <v>859</v>
      </c>
      <c r="D592" s="8" t="s">
        <v>859</v>
      </c>
      <c r="E592" s="8" t="s">
        <v>103</v>
      </c>
      <c r="F592" s="8"/>
      <c r="G592" s="8"/>
      <c r="H592" s="8" t="s">
        <v>847</v>
      </c>
    </row>
    <row r="593" spans="1:8" x14ac:dyDescent="0.3">
      <c r="A593" s="2" t="str">
        <f t="shared" si="51"/>
        <v>Philippines-CPI YoY</v>
      </c>
      <c r="B593" s="8" t="s">
        <v>452</v>
      </c>
      <c r="C593" s="8" t="s">
        <v>859</v>
      </c>
      <c r="D593" s="8" t="s">
        <v>859</v>
      </c>
      <c r="E593" s="8" t="s">
        <v>103</v>
      </c>
      <c r="F593" s="8"/>
      <c r="G593" s="8"/>
      <c r="H593" s="8" t="s">
        <v>850</v>
      </c>
    </row>
    <row r="594" spans="1:8" x14ac:dyDescent="0.3">
      <c r="A594" s="2" t="str">
        <f t="shared" si="51"/>
        <v>Singapore-CPI YoY</v>
      </c>
      <c r="B594" s="8" t="s">
        <v>494</v>
      </c>
      <c r="C594" s="8" t="s">
        <v>859</v>
      </c>
      <c r="D594" s="8" t="s">
        <v>859</v>
      </c>
      <c r="E594" s="8" t="s">
        <v>103</v>
      </c>
      <c r="F594" s="8"/>
      <c r="G594" s="8"/>
      <c r="H594" s="8" t="s">
        <v>851</v>
      </c>
    </row>
    <row r="595" spans="1:8" x14ac:dyDescent="0.3">
      <c r="A595" s="2" t="str">
        <f t="shared" si="51"/>
        <v>South Korea-CPI YoY</v>
      </c>
      <c r="B595" s="8" t="s">
        <v>611</v>
      </c>
      <c r="C595" s="8" t="s">
        <v>859</v>
      </c>
      <c r="D595" s="8" t="s">
        <v>859</v>
      </c>
      <c r="E595" s="8" t="s">
        <v>103</v>
      </c>
      <c r="F595" s="8"/>
      <c r="G595" s="8"/>
      <c r="H595" s="8" t="s">
        <v>852</v>
      </c>
    </row>
    <row r="596" spans="1:8" x14ac:dyDescent="0.3">
      <c r="A596" s="2" t="str">
        <f t="shared" si="51"/>
        <v>Sri Lanka-CPI YoY</v>
      </c>
      <c r="B596" s="8" t="s">
        <v>512</v>
      </c>
      <c r="C596" s="8" t="s">
        <v>859</v>
      </c>
      <c r="D596" s="8" t="s">
        <v>859</v>
      </c>
      <c r="E596" s="8" t="s">
        <v>103</v>
      </c>
      <c r="F596" s="8"/>
      <c r="G596" s="8"/>
      <c r="H596" s="8" t="s">
        <v>853</v>
      </c>
    </row>
    <row r="597" spans="1:8" x14ac:dyDescent="0.3">
      <c r="A597" s="2" t="str">
        <f t="shared" si="51"/>
        <v>Taiwan-CPI YoY</v>
      </c>
      <c r="B597" s="8" t="s">
        <v>524</v>
      </c>
      <c r="C597" s="8" t="s">
        <v>859</v>
      </c>
      <c r="D597" s="8" t="s">
        <v>859</v>
      </c>
      <c r="E597" s="8" t="s">
        <v>103</v>
      </c>
      <c r="F597" s="8"/>
      <c r="G597" s="8"/>
      <c r="H597" s="8" t="s">
        <v>854</v>
      </c>
    </row>
    <row r="598" spans="1:8" x14ac:dyDescent="0.3">
      <c r="A598" s="2" t="str">
        <f t="shared" si="51"/>
        <v>Tajikistan-CPI YoY</v>
      </c>
      <c r="B598" s="8" t="s">
        <v>526</v>
      </c>
      <c r="C598" s="8" t="s">
        <v>859</v>
      </c>
      <c r="D598" s="8" t="s">
        <v>859</v>
      </c>
      <c r="E598" s="8" t="s">
        <v>103</v>
      </c>
      <c r="F598" s="8"/>
      <c r="G598" s="8"/>
      <c r="H598" s="8" t="s">
        <v>855</v>
      </c>
    </row>
    <row r="599" spans="1:8" x14ac:dyDescent="0.3">
      <c r="A599" s="2" t="str">
        <f t="shared" si="51"/>
        <v>Thailand-CPI YoY</v>
      </c>
      <c r="B599" s="8" t="s">
        <v>530</v>
      </c>
      <c r="C599" s="8" t="s">
        <v>859</v>
      </c>
      <c r="D599" s="8" t="s">
        <v>859</v>
      </c>
      <c r="E599" s="8" t="s">
        <v>103</v>
      </c>
      <c r="F599" s="8"/>
      <c r="G599" s="8"/>
      <c r="H599" s="8" t="s">
        <v>856</v>
      </c>
    </row>
    <row r="600" spans="1:8" x14ac:dyDescent="0.3">
      <c r="A600" s="2" t="str">
        <f t="shared" si="51"/>
        <v>Timor-Leste-CPI YoY</v>
      </c>
      <c r="B600" s="8" t="s">
        <v>532</v>
      </c>
      <c r="C600" s="8" t="s">
        <v>859</v>
      </c>
      <c r="D600" s="8" t="s">
        <v>859</v>
      </c>
      <c r="E600" s="8" t="s">
        <v>103</v>
      </c>
      <c r="F600" s="8"/>
      <c r="G600" s="8"/>
      <c r="H600" s="8" t="s">
        <v>857</v>
      </c>
    </row>
    <row r="601" spans="1:8" x14ac:dyDescent="0.3">
      <c r="A601" s="2" t="str">
        <f t="shared" si="51"/>
        <v>Vietnam-CPI YoY</v>
      </c>
      <c r="B601" s="8" t="s">
        <v>564</v>
      </c>
      <c r="C601" s="8" t="s">
        <v>859</v>
      </c>
      <c r="D601" s="8" t="s">
        <v>859</v>
      </c>
      <c r="E601" s="8" t="s">
        <v>103</v>
      </c>
      <c r="F601" s="8"/>
      <c r="G601" s="8"/>
      <c r="H601" s="8" t="s">
        <v>858</v>
      </c>
    </row>
    <row r="602" spans="1:8" x14ac:dyDescent="0.3">
      <c r="A602" s="2" t="str">
        <f t="shared" si="51"/>
        <v>Brazil-Markit Manufacturing PMIs</v>
      </c>
      <c r="B602" s="8" t="s">
        <v>196</v>
      </c>
      <c r="C602" s="8" t="s">
        <v>860</v>
      </c>
      <c r="D602" s="8" t="s">
        <v>860</v>
      </c>
      <c r="E602" s="8" t="s">
        <v>103</v>
      </c>
      <c r="F602" s="8"/>
      <c r="G602" s="8"/>
      <c r="H602" s="8" t="s">
        <v>861</v>
      </c>
    </row>
    <row r="603" spans="1:8" x14ac:dyDescent="0.3">
      <c r="A603" s="2" t="str">
        <f t="shared" si="51"/>
        <v>Canada-Markit Manufacturing PMIs</v>
      </c>
      <c r="B603" s="8" t="s">
        <v>132</v>
      </c>
      <c r="C603" s="8" t="s">
        <v>860</v>
      </c>
      <c r="D603" s="8" t="s">
        <v>860</v>
      </c>
      <c r="E603" s="8" t="s">
        <v>103</v>
      </c>
      <c r="F603" s="8"/>
      <c r="G603" s="8"/>
      <c r="H603" s="8" t="s">
        <v>862</v>
      </c>
    </row>
    <row r="604" spans="1:8" x14ac:dyDescent="0.3">
      <c r="A604" s="2" t="str">
        <f t="shared" si="51"/>
        <v>Mexico-Markit Manufacturing PMIs</v>
      </c>
      <c r="B604" s="8" t="s">
        <v>402</v>
      </c>
      <c r="C604" s="8" t="s">
        <v>860</v>
      </c>
      <c r="D604" s="8" t="s">
        <v>860</v>
      </c>
      <c r="E604" s="8" t="s">
        <v>103</v>
      </c>
      <c r="F604" s="8"/>
      <c r="G604" s="8"/>
      <c r="H604" s="8" t="s">
        <v>863</v>
      </c>
    </row>
    <row r="605" spans="1:8" x14ac:dyDescent="0.3">
      <c r="A605" s="2" t="str">
        <f t="shared" si="51"/>
        <v>United States-Markit Manufacturing PMIs</v>
      </c>
      <c r="B605" s="8" t="s">
        <v>131</v>
      </c>
      <c r="C605" s="8" t="s">
        <v>860</v>
      </c>
      <c r="D605" s="8" t="s">
        <v>860</v>
      </c>
      <c r="E605" s="8" t="s">
        <v>103</v>
      </c>
      <c r="F605" s="8"/>
      <c r="G605" s="8"/>
      <c r="H605" s="8" t="s">
        <v>864</v>
      </c>
    </row>
    <row r="606" spans="1:8" x14ac:dyDescent="0.3">
      <c r="A606" s="2" t="str">
        <f t="shared" si="51"/>
        <v>Austria-Markit Manufacturing PMIs</v>
      </c>
      <c r="B606" s="8" t="s">
        <v>166</v>
      </c>
      <c r="C606" s="8" t="s">
        <v>860</v>
      </c>
      <c r="D606" s="8" t="s">
        <v>860</v>
      </c>
      <c r="E606" s="8" t="s">
        <v>103</v>
      </c>
      <c r="F606" s="8"/>
      <c r="G606" s="8"/>
      <c r="H606" s="8" t="s">
        <v>865</v>
      </c>
    </row>
    <row r="607" spans="1:8" x14ac:dyDescent="0.3">
      <c r="A607" s="2" t="str">
        <f t="shared" si="51"/>
        <v>Czech Republic-Markit Manufacturing PMIs</v>
      </c>
      <c r="B607" s="8" t="s">
        <v>249</v>
      </c>
      <c r="C607" s="8" t="s">
        <v>860</v>
      </c>
      <c r="D607" s="8" t="s">
        <v>860</v>
      </c>
      <c r="E607" s="8" t="s">
        <v>103</v>
      </c>
      <c r="F607" s="8"/>
      <c r="G607" s="8"/>
      <c r="H607" s="8" t="s">
        <v>866</v>
      </c>
    </row>
    <row r="608" spans="1:8" x14ac:dyDescent="0.3">
      <c r="A608" s="2" t="str">
        <f t="shared" si="51"/>
        <v>France-Markit Manufacturing PMIs</v>
      </c>
      <c r="B608" s="8" t="s">
        <v>281</v>
      </c>
      <c r="C608" s="8" t="s">
        <v>860</v>
      </c>
      <c r="D608" s="8" t="s">
        <v>860</v>
      </c>
      <c r="E608" s="8" t="s">
        <v>103</v>
      </c>
      <c r="F608" s="8"/>
      <c r="G608" s="8"/>
      <c r="H608" s="8" t="s">
        <v>867</v>
      </c>
    </row>
    <row r="609" spans="1:8" x14ac:dyDescent="0.3">
      <c r="A609" s="2" t="str">
        <f t="shared" si="51"/>
        <v>Germany-Markit Manufacturing PMIs</v>
      </c>
      <c r="B609" s="8" t="s">
        <v>290</v>
      </c>
      <c r="C609" s="8" t="s">
        <v>860</v>
      </c>
      <c r="D609" s="8" t="s">
        <v>860</v>
      </c>
      <c r="E609" s="8" t="s">
        <v>103</v>
      </c>
      <c r="F609" s="8"/>
      <c r="G609" s="8"/>
      <c r="H609" s="8" t="s">
        <v>868</v>
      </c>
    </row>
    <row r="610" spans="1:8" x14ac:dyDescent="0.3">
      <c r="A610" s="2" t="str">
        <f t="shared" si="51"/>
        <v>Greece-Markit Manufacturing PMIs</v>
      </c>
      <c r="B610" s="8" t="s">
        <v>296</v>
      </c>
      <c r="C610" s="8" t="s">
        <v>860</v>
      </c>
      <c r="D610" s="8" t="s">
        <v>860</v>
      </c>
      <c r="E610" s="8" t="s">
        <v>103</v>
      </c>
      <c r="F610" s="8"/>
      <c r="G610" s="8"/>
      <c r="H610" s="8" t="s">
        <v>869</v>
      </c>
    </row>
    <row r="611" spans="1:8" x14ac:dyDescent="0.3">
      <c r="A611" s="2" t="str">
        <f t="shared" si="51"/>
        <v>Ireland-Markit Manufacturing PMIs</v>
      </c>
      <c r="B611" s="8" t="s">
        <v>332</v>
      </c>
      <c r="C611" s="8" t="s">
        <v>860</v>
      </c>
      <c r="D611" s="8" t="s">
        <v>860</v>
      </c>
      <c r="E611" s="8" t="s">
        <v>103</v>
      </c>
      <c r="F611" s="8"/>
      <c r="G611" s="8"/>
      <c r="H611" s="8" t="s">
        <v>870</v>
      </c>
    </row>
    <row r="612" spans="1:8" x14ac:dyDescent="0.3">
      <c r="A612" s="2" t="str">
        <f t="shared" si="51"/>
        <v>Italy-Markit Manufacturing PMIs</v>
      </c>
      <c r="B612" s="8" t="s">
        <v>338</v>
      </c>
      <c r="C612" s="8" t="s">
        <v>860</v>
      </c>
      <c r="D612" s="8" t="s">
        <v>860</v>
      </c>
      <c r="E612" s="8" t="s">
        <v>103</v>
      </c>
      <c r="F612" s="8"/>
      <c r="G612" s="8"/>
      <c r="H612" s="8" t="s">
        <v>871</v>
      </c>
    </row>
    <row r="613" spans="1:8" x14ac:dyDescent="0.3">
      <c r="A613" s="2" t="str">
        <f t="shared" si="51"/>
        <v>Netherlands-Markit Manufacturing PMIs</v>
      </c>
      <c r="B613" s="8" t="s">
        <v>422</v>
      </c>
      <c r="C613" s="8" t="s">
        <v>860</v>
      </c>
      <c r="D613" s="8" t="s">
        <v>860</v>
      </c>
      <c r="E613" s="8" t="s">
        <v>103</v>
      </c>
      <c r="F613" s="8"/>
      <c r="G613" s="8"/>
      <c r="H613" s="8" t="s">
        <v>872</v>
      </c>
    </row>
    <row r="614" spans="1:8" x14ac:dyDescent="0.3">
      <c r="A614" s="2" t="str">
        <f t="shared" si="51"/>
        <v>Poland-Markit Manufacturing PMIs</v>
      </c>
      <c r="B614" s="8" t="s">
        <v>454</v>
      </c>
      <c r="C614" s="8" t="s">
        <v>860</v>
      </c>
      <c r="D614" s="8" t="s">
        <v>860</v>
      </c>
      <c r="E614" s="8" t="s">
        <v>103</v>
      </c>
      <c r="F614" s="8"/>
      <c r="G614" s="8"/>
      <c r="H614" s="8" t="s">
        <v>873</v>
      </c>
    </row>
    <row r="615" spans="1:8" x14ac:dyDescent="0.3">
      <c r="A615" s="2" t="str">
        <f t="shared" si="51"/>
        <v>Russia-Markit Manufacturing PMIs</v>
      </c>
      <c r="B615" s="8" t="s">
        <v>464</v>
      </c>
      <c r="C615" s="8" t="s">
        <v>860</v>
      </c>
      <c r="D615" s="8" t="s">
        <v>860</v>
      </c>
      <c r="E615" s="8" t="s">
        <v>103</v>
      </c>
      <c r="F615" s="8"/>
      <c r="G615" s="8"/>
      <c r="H615" s="8" t="s">
        <v>874</v>
      </c>
    </row>
    <row r="616" spans="1:8" x14ac:dyDescent="0.3">
      <c r="A616" s="2" t="str">
        <f t="shared" si="51"/>
        <v>Spain-Markit Manufacturing PMIs</v>
      </c>
      <c r="B616" s="8" t="s">
        <v>510</v>
      </c>
      <c r="C616" s="8" t="s">
        <v>860</v>
      </c>
      <c r="D616" s="8" t="s">
        <v>860</v>
      </c>
      <c r="E616" s="8" t="s">
        <v>103</v>
      </c>
      <c r="F616" s="8"/>
      <c r="G616" s="8"/>
      <c r="H616" s="8" t="s">
        <v>875</v>
      </c>
    </row>
    <row r="617" spans="1:8" x14ac:dyDescent="0.3">
      <c r="A617" s="2" t="str">
        <f t="shared" si="51"/>
        <v>Turkey-Markit Manufacturing PMIs</v>
      </c>
      <c r="B617" s="8" t="s">
        <v>542</v>
      </c>
      <c r="C617" s="8" t="s">
        <v>860</v>
      </c>
      <c r="D617" s="8" t="s">
        <v>860</v>
      </c>
      <c r="E617" s="8" t="s">
        <v>103</v>
      </c>
      <c r="F617" s="8"/>
      <c r="G617" s="8"/>
      <c r="H617" s="8" t="s">
        <v>876</v>
      </c>
    </row>
    <row r="618" spans="1:8" x14ac:dyDescent="0.3">
      <c r="A618" s="2" t="str">
        <f t="shared" si="51"/>
        <v>United Kingdom-Markit Manufacturing PMIs</v>
      </c>
      <c r="B618" s="8" t="s">
        <v>128</v>
      </c>
      <c r="C618" s="8" t="s">
        <v>860</v>
      </c>
      <c r="D618" s="8" t="s">
        <v>860</v>
      </c>
      <c r="E618" s="8" t="s">
        <v>103</v>
      </c>
      <c r="F618" s="8"/>
      <c r="G618" s="8"/>
      <c r="H618" s="8" t="s">
        <v>877</v>
      </c>
    </row>
    <row r="619" spans="1:8" x14ac:dyDescent="0.3">
      <c r="A619" s="2" t="str">
        <f t="shared" si="51"/>
        <v>China-Markit Manufacturing PMIs</v>
      </c>
      <c r="B619" s="8" t="s">
        <v>225</v>
      </c>
      <c r="C619" s="8" t="s">
        <v>860</v>
      </c>
      <c r="D619" s="8" t="s">
        <v>860</v>
      </c>
      <c r="E619" s="8" t="s">
        <v>103</v>
      </c>
      <c r="F619" s="8"/>
      <c r="G619" s="8"/>
      <c r="H619" s="8" t="s">
        <v>878</v>
      </c>
    </row>
    <row r="620" spans="1:8" x14ac:dyDescent="0.3">
      <c r="A620" s="2" t="str">
        <f t="shared" si="51"/>
        <v>India-Markit Manufacturing PMIs</v>
      </c>
      <c r="B620" s="8" t="s">
        <v>324</v>
      </c>
      <c r="C620" s="8" t="s">
        <v>860</v>
      </c>
      <c r="D620" s="8" t="s">
        <v>860</v>
      </c>
      <c r="E620" s="8" t="s">
        <v>103</v>
      </c>
      <c r="F620" s="8"/>
      <c r="G620" s="8"/>
      <c r="H620" s="8" t="s">
        <v>879</v>
      </c>
    </row>
    <row r="621" spans="1:8" x14ac:dyDescent="0.3">
      <c r="A621" s="2" t="str">
        <f t="shared" si="51"/>
        <v>Indonesia-Markit Manufacturing PMIs</v>
      </c>
      <c r="B621" s="8" t="s">
        <v>326</v>
      </c>
      <c r="C621" s="8" t="s">
        <v>860</v>
      </c>
      <c r="D621" s="8" t="s">
        <v>860</v>
      </c>
      <c r="E621" s="8" t="s">
        <v>103</v>
      </c>
      <c r="F621" s="8"/>
      <c r="G621" s="8"/>
      <c r="H621" s="8" t="s">
        <v>880</v>
      </c>
    </row>
    <row r="622" spans="1:8" x14ac:dyDescent="0.3">
      <c r="A622" s="2" t="str">
        <f t="shared" si="51"/>
        <v>Japan-Markit Manufacturing PMIs</v>
      </c>
      <c r="B622" s="8" t="s">
        <v>136</v>
      </c>
      <c r="C622" s="8" t="s">
        <v>860</v>
      </c>
      <c r="D622" s="8" t="s">
        <v>860</v>
      </c>
      <c r="E622" s="8" t="s">
        <v>103</v>
      </c>
      <c r="F622" s="8"/>
      <c r="G622" s="8"/>
      <c r="H622" s="8" t="s">
        <v>881</v>
      </c>
    </row>
    <row r="623" spans="1:8" x14ac:dyDescent="0.3">
      <c r="A623" s="2" t="str">
        <f t="shared" si="51"/>
        <v>Malaysia-Markit Manufacturing PMIs</v>
      </c>
      <c r="B623" s="8" t="s">
        <v>388</v>
      </c>
      <c r="C623" s="8" t="s">
        <v>860</v>
      </c>
      <c r="D623" s="8" t="s">
        <v>860</v>
      </c>
      <c r="E623" s="8" t="s">
        <v>103</v>
      </c>
      <c r="F623" s="8"/>
      <c r="G623" s="8"/>
      <c r="H623" s="8" t="s">
        <v>882</v>
      </c>
    </row>
    <row r="624" spans="1:8" x14ac:dyDescent="0.3">
      <c r="A624" s="2" t="str">
        <f t="shared" si="51"/>
        <v>South Korea-Markit Manufacturing PMIs</v>
      </c>
      <c r="B624" s="8" t="s">
        <v>611</v>
      </c>
      <c r="C624" s="8" t="s">
        <v>860</v>
      </c>
      <c r="D624" s="8" t="s">
        <v>860</v>
      </c>
      <c r="E624" s="8" t="s">
        <v>103</v>
      </c>
      <c r="F624" s="8"/>
      <c r="G624" s="8"/>
      <c r="H624" s="8" t="s">
        <v>883</v>
      </c>
    </row>
    <row r="625" spans="1:8" x14ac:dyDescent="0.3">
      <c r="A625" s="2" t="str">
        <f t="shared" si="51"/>
        <v>Taiwan-Markit Manufacturing PMIs</v>
      </c>
      <c r="B625" s="8" t="s">
        <v>524</v>
      </c>
      <c r="C625" s="8" t="s">
        <v>860</v>
      </c>
      <c r="D625" s="8" t="s">
        <v>860</v>
      </c>
      <c r="E625" s="8" t="s">
        <v>103</v>
      </c>
      <c r="F625" s="8"/>
      <c r="G625" s="8"/>
      <c r="H625" s="8" t="s">
        <v>884</v>
      </c>
    </row>
    <row r="626" spans="1:8" x14ac:dyDescent="0.3">
      <c r="A626" s="2" t="str">
        <f t="shared" si="51"/>
        <v>Vietnam-Markit Manufacturing PMIs</v>
      </c>
      <c r="B626" s="8" t="s">
        <v>564</v>
      </c>
      <c r="C626" s="8" t="s">
        <v>860</v>
      </c>
      <c r="D626" s="8" t="s">
        <v>860</v>
      </c>
      <c r="E626" s="8" t="s">
        <v>103</v>
      </c>
      <c r="F626" s="8"/>
      <c r="G626" s="8"/>
      <c r="H626" s="8" t="s">
        <v>885</v>
      </c>
    </row>
    <row r="627" spans="1:8" x14ac:dyDescent="0.3">
      <c r="A627" s="2" t="str">
        <f t="shared" si="51"/>
        <v>Emerging Markets-Markit Manufacturing PMIs</v>
      </c>
      <c r="B627" s="8" t="s">
        <v>945</v>
      </c>
      <c r="C627" s="8" t="s">
        <v>860</v>
      </c>
      <c r="D627" s="8" t="s">
        <v>860</v>
      </c>
      <c r="E627" s="8" t="s">
        <v>103</v>
      </c>
      <c r="F627" s="8"/>
      <c r="G627" s="8"/>
      <c r="H627" s="8" t="s">
        <v>886</v>
      </c>
    </row>
    <row r="628" spans="1:8" x14ac:dyDescent="0.3">
      <c r="A628" s="2" t="str">
        <f t="shared" si="51"/>
        <v>Eurozone-Markit Manufacturing PMIs</v>
      </c>
      <c r="B628" s="8" t="s">
        <v>127</v>
      </c>
      <c r="C628" s="8" t="s">
        <v>860</v>
      </c>
      <c r="D628" s="8" t="s">
        <v>860</v>
      </c>
      <c r="E628" s="8" t="s">
        <v>103</v>
      </c>
      <c r="F628" s="8"/>
      <c r="G628" s="8"/>
      <c r="H628" s="8" t="s">
        <v>887</v>
      </c>
    </row>
    <row r="629" spans="1:8" x14ac:dyDescent="0.3">
      <c r="A629" s="2" t="str">
        <f t="shared" si="51"/>
        <v>European Union-Markit Manufacturing PMIs</v>
      </c>
      <c r="B629" s="8" t="s">
        <v>626</v>
      </c>
      <c r="C629" s="8" t="s">
        <v>860</v>
      </c>
      <c r="D629" s="8" t="s">
        <v>860</v>
      </c>
      <c r="E629" s="8" t="s">
        <v>103</v>
      </c>
      <c r="F629" s="8"/>
      <c r="G629" s="8"/>
      <c r="H629" s="8" t="s">
        <v>888</v>
      </c>
    </row>
    <row r="630" spans="1:8" x14ac:dyDescent="0.3">
      <c r="A630" s="2" t="str">
        <f t="shared" si="51"/>
        <v>Global-Markit Manufacturing PMIs</v>
      </c>
      <c r="B630" s="8" t="s">
        <v>946</v>
      </c>
      <c r="C630" s="8" t="s">
        <v>860</v>
      </c>
      <c r="D630" s="8" t="s">
        <v>860</v>
      </c>
      <c r="E630" s="8" t="s">
        <v>103</v>
      </c>
      <c r="F630" s="8"/>
      <c r="G630" s="8"/>
      <c r="H630" s="8" t="s">
        <v>889</v>
      </c>
    </row>
    <row r="631" spans="1:8" x14ac:dyDescent="0.3">
      <c r="A631" s="2" t="str">
        <f t="shared" si="51"/>
        <v>Brazil-Markit Service PMIs</v>
      </c>
      <c r="B631" s="8" t="s">
        <v>196</v>
      </c>
      <c r="C631" s="8" t="s">
        <v>890</v>
      </c>
      <c r="D631" s="8" t="s">
        <v>890</v>
      </c>
      <c r="E631" s="8" t="s">
        <v>103</v>
      </c>
      <c r="F631" s="8"/>
      <c r="G631" s="8"/>
      <c r="H631" s="8" t="s">
        <v>891</v>
      </c>
    </row>
    <row r="632" spans="1:8" x14ac:dyDescent="0.3">
      <c r="A632" s="2" t="str">
        <f t="shared" si="51"/>
        <v>United States-Markit Service PMIs</v>
      </c>
      <c r="B632" s="8" t="s">
        <v>131</v>
      </c>
      <c r="C632" s="8" t="s">
        <v>890</v>
      </c>
      <c r="D632" s="8" t="s">
        <v>890</v>
      </c>
      <c r="E632" s="8" t="s">
        <v>103</v>
      </c>
      <c r="F632" s="8"/>
      <c r="G632" s="8"/>
      <c r="H632" s="8" t="s">
        <v>892</v>
      </c>
    </row>
    <row r="633" spans="1:8" x14ac:dyDescent="0.3">
      <c r="A633" s="2" t="str">
        <f t="shared" si="51"/>
        <v>France-Markit Service PMIs</v>
      </c>
      <c r="B633" s="8" t="s">
        <v>281</v>
      </c>
      <c r="C633" s="8" t="s">
        <v>890</v>
      </c>
      <c r="D633" s="8" t="s">
        <v>890</v>
      </c>
      <c r="E633" s="8" t="s">
        <v>103</v>
      </c>
      <c r="F633" s="8"/>
      <c r="G633" s="8"/>
      <c r="H633" s="8" t="s">
        <v>893</v>
      </c>
    </row>
    <row r="634" spans="1:8" x14ac:dyDescent="0.3">
      <c r="A634" s="2" t="str">
        <f t="shared" si="51"/>
        <v>Germany-Markit Service PMIs</v>
      </c>
      <c r="B634" s="8" t="s">
        <v>290</v>
      </c>
      <c r="C634" s="8" t="s">
        <v>890</v>
      </c>
      <c r="D634" s="8" t="s">
        <v>890</v>
      </c>
      <c r="E634" s="8" t="s">
        <v>103</v>
      </c>
      <c r="F634" s="8"/>
      <c r="G634" s="8"/>
      <c r="H634" s="8" t="s">
        <v>894</v>
      </c>
    </row>
    <row r="635" spans="1:8" x14ac:dyDescent="0.3">
      <c r="A635" s="2" t="str">
        <f t="shared" si="51"/>
        <v>Ireland-Markit Service PMIs</v>
      </c>
      <c r="B635" s="8" t="s">
        <v>332</v>
      </c>
      <c r="C635" s="8" t="s">
        <v>890</v>
      </c>
      <c r="D635" s="8" t="s">
        <v>890</v>
      </c>
      <c r="E635" s="8" t="s">
        <v>103</v>
      </c>
      <c r="F635" s="8"/>
      <c r="G635" s="8"/>
      <c r="H635" s="8" t="s">
        <v>895</v>
      </c>
    </row>
    <row r="636" spans="1:8" x14ac:dyDescent="0.3">
      <c r="A636" s="2" t="str">
        <f t="shared" si="51"/>
        <v>Italy-Markit Service PMIs</v>
      </c>
      <c r="B636" s="8" t="s">
        <v>338</v>
      </c>
      <c r="C636" s="8" t="s">
        <v>890</v>
      </c>
      <c r="D636" s="8" t="s">
        <v>890</v>
      </c>
      <c r="E636" s="8" t="s">
        <v>103</v>
      </c>
      <c r="F636" s="8"/>
      <c r="G636" s="8"/>
      <c r="H636" s="8" t="s">
        <v>896</v>
      </c>
    </row>
    <row r="637" spans="1:8" x14ac:dyDescent="0.3">
      <c r="A637" s="2" t="str">
        <f t="shared" si="51"/>
        <v>Russia-Markit Service PMIs</v>
      </c>
      <c r="B637" s="8" t="s">
        <v>464</v>
      </c>
      <c r="C637" s="8" t="s">
        <v>890</v>
      </c>
      <c r="D637" s="8" t="s">
        <v>890</v>
      </c>
      <c r="E637" s="8" t="s">
        <v>103</v>
      </c>
      <c r="F637" s="8"/>
      <c r="G637" s="8"/>
      <c r="H637" s="8" t="s">
        <v>897</v>
      </c>
    </row>
    <row r="638" spans="1:8" x14ac:dyDescent="0.3">
      <c r="A638" s="2" t="str">
        <f t="shared" si="51"/>
        <v>Spain-Markit Service PMIs</v>
      </c>
      <c r="B638" s="8" t="s">
        <v>510</v>
      </c>
      <c r="C638" s="8" t="s">
        <v>890</v>
      </c>
      <c r="D638" s="8" t="s">
        <v>890</v>
      </c>
      <c r="E638" s="8" t="s">
        <v>103</v>
      </c>
      <c r="F638" s="8"/>
      <c r="G638" s="8"/>
      <c r="H638" s="8" t="s">
        <v>898</v>
      </c>
    </row>
    <row r="639" spans="1:8" x14ac:dyDescent="0.3">
      <c r="A639" s="2" t="str">
        <f t="shared" si="51"/>
        <v>United Kingdom-Markit Service PMIs</v>
      </c>
      <c r="B639" s="8" t="s">
        <v>128</v>
      </c>
      <c r="C639" s="8" t="s">
        <v>890</v>
      </c>
      <c r="D639" s="8" t="s">
        <v>890</v>
      </c>
      <c r="E639" s="8" t="s">
        <v>103</v>
      </c>
      <c r="F639" s="8"/>
      <c r="G639" s="8"/>
      <c r="H639" s="8" t="s">
        <v>899</v>
      </c>
    </row>
    <row r="640" spans="1:8" x14ac:dyDescent="0.3">
      <c r="A640" s="2" t="str">
        <f t="shared" si="51"/>
        <v>China-Markit Service PMIs</v>
      </c>
      <c r="B640" s="8" t="s">
        <v>225</v>
      </c>
      <c r="C640" s="8" t="s">
        <v>890</v>
      </c>
      <c r="D640" s="8" t="s">
        <v>890</v>
      </c>
      <c r="E640" s="8" t="s">
        <v>103</v>
      </c>
      <c r="F640" s="8"/>
      <c r="G640" s="8"/>
      <c r="H640" s="8" t="s">
        <v>900</v>
      </c>
    </row>
    <row r="641" spans="1:8" x14ac:dyDescent="0.3">
      <c r="A641" s="2" t="str">
        <f t="shared" si="51"/>
        <v>India-Markit Service PMIs</v>
      </c>
      <c r="B641" s="8" t="s">
        <v>324</v>
      </c>
      <c r="C641" s="8" t="s">
        <v>890</v>
      </c>
      <c r="D641" s="8" t="s">
        <v>890</v>
      </c>
      <c r="E641" s="8" t="s">
        <v>103</v>
      </c>
      <c r="F641" s="8"/>
      <c r="G641" s="8"/>
      <c r="H641" s="8" t="s">
        <v>901</v>
      </c>
    </row>
    <row r="642" spans="1:8" x14ac:dyDescent="0.3">
      <c r="A642" s="2" t="str">
        <f t="shared" si="51"/>
        <v>Japan-Markit Service PMIs</v>
      </c>
      <c r="B642" s="8" t="s">
        <v>136</v>
      </c>
      <c r="C642" s="8" t="s">
        <v>890</v>
      </c>
      <c r="D642" s="8" t="s">
        <v>890</v>
      </c>
      <c r="E642" s="8" t="s">
        <v>103</v>
      </c>
      <c r="F642" s="8"/>
      <c r="G642" s="8"/>
      <c r="H642" s="8" t="s">
        <v>902</v>
      </c>
    </row>
    <row r="643" spans="1:8" x14ac:dyDescent="0.3">
      <c r="A643" s="2" t="str">
        <f t="shared" ref="A643:A680" si="52">B643&amp;"-"&amp;C643</f>
        <v>Emerging Markets-Markit Service PMIs</v>
      </c>
      <c r="B643" s="8" t="s">
        <v>945</v>
      </c>
      <c r="C643" s="8" t="s">
        <v>890</v>
      </c>
      <c r="D643" s="8" t="s">
        <v>890</v>
      </c>
      <c r="E643" s="8" t="s">
        <v>103</v>
      </c>
      <c r="F643" s="8"/>
      <c r="G643" s="8"/>
      <c r="H643" s="8" t="s">
        <v>903</v>
      </c>
    </row>
    <row r="644" spans="1:8" x14ac:dyDescent="0.3">
      <c r="A644" s="2" t="str">
        <f t="shared" si="52"/>
        <v>European Union-Markit Service PMIs</v>
      </c>
      <c r="B644" s="8" t="s">
        <v>626</v>
      </c>
      <c r="C644" s="8" t="s">
        <v>890</v>
      </c>
      <c r="D644" s="8" t="s">
        <v>890</v>
      </c>
      <c r="E644" s="8" t="s">
        <v>103</v>
      </c>
      <c r="F644" s="8"/>
      <c r="G644" s="8"/>
      <c r="H644" s="8" t="s">
        <v>904</v>
      </c>
    </row>
    <row r="645" spans="1:8" x14ac:dyDescent="0.3">
      <c r="A645" s="2" t="str">
        <f t="shared" si="52"/>
        <v>Eurozone-Markit Service PMIs</v>
      </c>
      <c r="B645" s="8" t="s">
        <v>127</v>
      </c>
      <c r="C645" s="8" t="s">
        <v>890</v>
      </c>
      <c r="D645" s="8" t="s">
        <v>890</v>
      </c>
      <c r="E645" s="8" t="s">
        <v>103</v>
      </c>
      <c r="F645" s="8"/>
      <c r="G645" s="8"/>
      <c r="H645" s="8" t="s">
        <v>905</v>
      </c>
    </row>
    <row r="646" spans="1:8" x14ac:dyDescent="0.3">
      <c r="A646" s="2" t="str">
        <f t="shared" si="52"/>
        <v>Global-Markit Service PMIs</v>
      </c>
      <c r="B646" s="8" t="s">
        <v>946</v>
      </c>
      <c r="C646" s="8" t="s">
        <v>890</v>
      </c>
      <c r="D646" s="8" t="s">
        <v>890</v>
      </c>
      <c r="E646" s="8" t="s">
        <v>103</v>
      </c>
      <c r="F646" s="8"/>
      <c r="G646" s="8"/>
      <c r="H646" s="8" t="s">
        <v>906</v>
      </c>
    </row>
    <row r="647" spans="1:8" x14ac:dyDescent="0.3">
      <c r="A647" s="2" t="str">
        <f t="shared" si="52"/>
        <v>Brazil-Markit Composite PMIs</v>
      </c>
      <c r="B647" s="8" t="s">
        <v>196</v>
      </c>
      <c r="C647" s="8" t="s">
        <v>907</v>
      </c>
      <c r="D647" s="8" t="s">
        <v>907</v>
      </c>
      <c r="E647" s="8" t="s">
        <v>103</v>
      </c>
      <c r="F647" s="8"/>
      <c r="G647" s="8"/>
      <c r="H647" s="8" t="s">
        <v>908</v>
      </c>
    </row>
    <row r="648" spans="1:8" x14ac:dyDescent="0.3">
      <c r="A648" s="2" t="str">
        <f t="shared" si="52"/>
        <v>United States-Markit Composite PMIs</v>
      </c>
      <c r="B648" s="8" t="s">
        <v>131</v>
      </c>
      <c r="C648" s="8" t="s">
        <v>907</v>
      </c>
      <c r="D648" s="8" t="s">
        <v>907</v>
      </c>
      <c r="E648" s="8" t="s">
        <v>103</v>
      </c>
      <c r="F648" s="8"/>
      <c r="G648" s="8"/>
      <c r="H648" s="8" t="s">
        <v>909</v>
      </c>
    </row>
    <row r="649" spans="1:8" x14ac:dyDescent="0.3">
      <c r="A649" s="2" t="str">
        <f t="shared" si="52"/>
        <v>France-Markit Composite PMIs</v>
      </c>
      <c r="B649" s="8" t="s">
        <v>281</v>
      </c>
      <c r="C649" s="8" t="s">
        <v>907</v>
      </c>
      <c r="D649" s="8" t="s">
        <v>907</v>
      </c>
      <c r="E649" s="8" t="s">
        <v>103</v>
      </c>
      <c r="F649" s="8"/>
      <c r="G649" s="8"/>
      <c r="H649" s="8" t="s">
        <v>910</v>
      </c>
    </row>
    <row r="650" spans="1:8" x14ac:dyDescent="0.3">
      <c r="A650" s="2" t="str">
        <f t="shared" si="52"/>
        <v>Germany-Markit Composite PMIs</v>
      </c>
      <c r="B650" s="8" t="s">
        <v>290</v>
      </c>
      <c r="C650" s="8" t="s">
        <v>907</v>
      </c>
      <c r="D650" s="8" t="s">
        <v>907</v>
      </c>
      <c r="E650" s="8" t="s">
        <v>103</v>
      </c>
      <c r="F650" s="8"/>
      <c r="G650" s="8"/>
      <c r="H650" s="8" t="s">
        <v>911</v>
      </c>
    </row>
    <row r="651" spans="1:8" x14ac:dyDescent="0.3">
      <c r="A651" s="2" t="str">
        <f t="shared" si="52"/>
        <v>Ireland-Markit Composite PMIs</v>
      </c>
      <c r="B651" s="8" t="s">
        <v>332</v>
      </c>
      <c r="C651" s="8" t="s">
        <v>907</v>
      </c>
      <c r="D651" s="8" t="s">
        <v>907</v>
      </c>
      <c r="E651" s="8" t="s">
        <v>103</v>
      </c>
      <c r="F651" s="8"/>
      <c r="G651" s="8"/>
      <c r="H651" s="8" t="s">
        <v>912</v>
      </c>
    </row>
    <row r="652" spans="1:8" x14ac:dyDescent="0.3">
      <c r="A652" s="2" t="str">
        <f t="shared" si="52"/>
        <v>Italy-Markit Composite PMIs</v>
      </c>
      <c r="B652" s="8" t="s">
        <v>338</v>
      </c>
      <c r="C652" s="8" t="s">
        <v>907</v>
      </c>
      <c r="D652" s="8" t="s">
        <v>907</v>
      </c>
      <c r="E652" s="8" t="s">
        <v>103</v>
      </c>
      <c r="F652" s="8"/>
      <c r="G652" s="8"/>
      <c r="H652" s="8" t="s">
        <v>913</v>
      </c>
    </row>
    <row r="653" spans="1:8" x14ac:dyDescent="0.3">
      <c r="A653" s="2" t="str">
        <f t="shared" si="52"/>
        <v>Russia-Markit Composite PMIs</v>
      </c>
      <c r="B653" s="8" t="s">
        <v>464</v>
      </c>
      <c r="C653" s="8" t="s">
        <v>907</v>
      </c>
      <c r="D653" s="8" t="s">
        <v>907</v>
      </c>
      <c r="E653" s="8" t="s">
        <v>103</v>
      </c>
      <c r="F653" s="8"/>
      <c r="G653" s="8"/>
      <c r="H653" s="8" t="s">
        <v>914</v>
      </c>
    </row>
    <row r="654" spans="1:8" x14ac:dyDescent="0.3">
      <c r="A654" s="2" t="str">
        <f t="shared" si="52"/>
        <v>Spain-Markit Composite PMIs</v>
      </c>
      <c r="B654" s="8" t="s">
        <v>510</v>
      </c>
      <c r="C654" s="8" t="s">
        <v>907</v>
      </c>
      <c r="D654" s="8" t="s">
        <v>907</v>
      </c>
      <c r="E654" s="8" t="s">
        <v>103</v>
      </c>
      <c r="F654" s="8"/>
      <c r="G654" s="8"/>
      <c r="H654" s="8" t="s">
        <v>915</v>
      </c>
    </row>
    <row r="655" spans="1:8" x14ac:dyDescent="0.3">
      <c r="A655" s="2" t="str">
        <f t="shared" si="52"/>
        <v>United Kingdom-Markit Composite PMIs</v>
      </c>
      <c r="B655" s="8" t="s">
        <v>128</v>
      </c>
      <c r="C655" s="8" t="s">
        <v>907</v>
      </c>
      <c r="D655" s="8" t="s">
        <v>907</v>
      </c>
      <c r="E655" s="8" t="s">
        <v>103</v>
      </c>
      <c r="F655" s="8"/>
      <c r="G655" s="8"/>
      <c r="H655" s="8" t="s">
        <v>916</v>
      </c>
    </row>
    <row r="656" spans="1:8" x14ac:dyDescent="0.3">
      <c r="A656" s="2" t="str">
        <f t="shared" si="52"/>
        <v>China-Markit Composite PMIs</v>
      </c>
      <c r="B656" s="8" t="s">
        <v>225</v>
      </c>
      <c r="C656" s="8" t="s">
        <v>907</v>
      </c>
      <c r="D656" s="8" t="s">
        <v>907</v>
      </c>
      <c r="E656" s="8" t="s">
        <v>103</v>
      </c>
      <c r="F656" s="8"/>
      <c r="G656" s="8"/>
      <c r="H656" s="8" t="s">
        <v>917</v>
      </c>
    </row>
    <row r="657" spans="1:8" x14ac:dyDescent="0.3">
      <c r="A657" s="2" t="str">
        <f t="shared" si="52"/>
        <v>India-Markit Composite PMIs</v>
      </c>
      <c r="B657" s="8" t="s">
        <v>324</v>
      </c>
      <c r="C657" s="8" t="s">
        <v>907</v>
      </c>
      <c r="D657" s="8" t="s">
        <v>907</v>
      </c>
      <c r="E657" s="8" t="s">
        <v>103</v>
      </c>
      <c r="F657" s="8"/>
      <c r="G657" s="8"/>
      <c r="H657" s="8" t="s">
        <v>918</v>
      </c>
    </row>
    <row r="658" spans="1:8" x14ac:dyDescent="0.3">
      <c r="A658" s="2" t="str">
        <f t="shared" si="52"/>
        <v>Japan-Markit Composite PMIs</v>
      </c>
      <c r="B658" s="8" t="s">
        <v>136</v>
      </c>
      <c r="C658" s="8" t="s">
        <v>907</v>
      </c>
      <c r="D658" s="8" t="s">
        <v>907</v>
      </c>
      <c r="E658" s="8" t="s">
        <v>103</v>
      </c>
      <c r="F658" s="8"/>
      <c r="G658" s="8"/>
      <c r="H658" s="8" t="s">
        <v>919</v>
      </c>
    </row>
    <row r="659" spans="1:8" x14ac:dyDescent="0.3">
      <c r="A659" s="2" t="str">
        <f t="shared" si="52"/>
        <v>Emerging Markets-Markit Composite PMIs</v>
      </c>
      <c r="B659" s="8" t="s">
        <v>945</v>
      </c>
      <c r="C659" s="8" t="s">
        <v>907</v>
      </c>
      <c r="D659" s="8" t="s">
        <v>907</v>
      </c>
      <c r="E659" s="8" t="s">
        <v>103</v>
      </c>
      <c r="F659" s="8"/>
      <c r="G659" s="8"/>
      <c r="H659" s="8" t="s">
        <v>920</v>
      </c>
    </row>
    <row r="660" spans="1:8" x14ac:dyDescent="0.3">
      <c r="A660" s="2" t="str">
        <f t="shared" si="52"/>
        <v>European Union-Markit Composite PMIs</v>
      </c>
      <c r="B660" s="8" t="s">
        <v>626</v>
      </c>
      <c r="C660" s="8" t="s">
        <v>907</v>
      </c>
      <c r="D660" s="8" t="s">
        <v>907</v>
      </c>
      <c r="E660" s="8" t="s">
        <v>103</v>
      </c>
      <c r="F660" s="8"/>
      <c r="G660" s="8"/>
      <c r="H660" s="8" t="s">
        <v>921</v>
      </c>
    </row>
    <row r="661" spans="1:8" x14ac:dyDescent="0.3">
      <c r="A661" s="2" t="str">
        <f t="shared" si="52"/>
        <v>Eurozone-Markit Composite PMIs</v>
      </c>
      <c r="B661" s="8" t="s">
        <v>127</v>
      </c>
      <c r="C661" s="8" t="s">
        <v>907</v>
      </c>
      <c r="D661" s="8" t="s">
        <v>907</v>
      </c>
      <c r="E661" s="8" t="s">
        <v>103</v>
      </c>
      <c r="F661" s="8"/>
      <c r="G661" s="8"/>
      <c r="H661" s="8" t="s">
        <v>922</v>
      </c>
    </row>
    <row r="662" spans="1:8" x14ac:dyDescent="0.3">
      <c r="A662" s="2" t="str">
        <f t="shared" si="52"/>
        <v>Global-Markit Composite PMIs</v>
      </c>
      <c r="B662" s="8" t="s">
        <v>946</v>
      </c>
      <c r="C662" s="8" t="s">
        <v>907</v>
      </c>
      <c r="D662" s="8" t="s">
        <v>907</v>
      </c>
      <c r="E662" s="8" t="s">
        <v>103</v>
      </c>
      <c r="F662" s="8"/>
      <c r="G662" s="8"/>
      <c r="H662" s="8" t="s">
        <v>923</v>
      </c>
    </row>
    <row r="663" spans="1:8" x14ac:dyDescent="0.3">
      <c r="A663" s="2" t="str">
        <f t="shared" si="52"/>
        <v>Eurozone-Markit Retail Surveys</v>
      </c>
      <c r="B663" s="8" t="s">
        <v>127</v>
      </c>
      <c r="C663" s="8" t="s">
        <v>924</v>
      </c>
      <c r="D663" s="8" t="s">
        <v>924</v>
      </c>
      <c r="E663" s="8" t="s">
        <v>103</v>
      </c>
      <c r="F663" s="8"/>
      <c r="G663" s="8"/>
      <c r="H663" s="8" t="s">
        <v>925</v>
      </c>
    </row>
    <row r="664" spans="1:8" x14ac:dyDescent="0.3">
      <c r="A664" s="2" t="str">
        <f t="shared" si="52"/>
        <v>Germany-Markit Retail Surveys</v>
      </c>
      <c r="B664" s="8" t="s">
        <v>290</v>
      </c>
      <c r="C664" s="8" t="s">
        <v>924</v>
      </c>
      <c r="D664" s="8" t="s">
        <v>924</v>
      </c>
      <c r="E664" s="8" t="s">
        <v>103</v>
      </c>
      <c r="F664" s="8"/>
      <c r="G664" s="8"/>
      <c r="H664" s="8" t="s">
        <v>926</v>
      </c>
    </row>
    <row r="665" spans="1:8" x14ac:dyDescent="0.3">
      <c r="A665" s="2" t="str">
        <f t="shared" si="52"/>
        <v>France-Markit Retail Surveys</v>
      </c>
      <c r="B665" s="8" t="s">
        <v>281</v>
      </c>
      <c r="C665" s="8" t="s">
        <v>924</v>
      </c>
      <c r="D665" s="8" t="s">
        <v>924</v>
      </c>
      <c r="E665" s="8" t="s">
        <v>103</v>
      </c>
      <c r="F665" s="8"/>
      <c r="G665" s="8"/>
      <c r="H665" s="8" t="s">
        <v>927</v>
      </c>
    </row>
    <row r="666" spans="1:8" x14ac:dyDescent="0.3">
      <c r="A666" s="2" t="str">
        <f t="shared" si="52"/>
        <v>Italy-Markit Retail Surveys</v>
      </c>
      <c r="B666" s="8" t="s">
        <v>338</v>
      </c>
      <c r="C666" s="8" t="s">
        <v>924</v>
      </c>
      <c r="D666" s="8" t="s">
        <v>924</v>
      </c>
      <c r="E666" s="8" t="s">
        <v>103</v>
      </c>
      <c r="F666" s="8"/>
      <c r="G666" s="8"/>
      <c r="H666" s="8" t="s">
        <v>928</v>
      </c>
    </row>
    <row r="667" spans="1:8" x14ac:dyDescent="0.3">
      <c r="A667" s="2" t="str">
        <f t="shared" si="52"/>
        <v>Eurozone-Markit Construction Surveys</v>
      </c>
      <c r="B667" s="8" t="s">
        <v>127</v>
      </c>
      <c r="C667" s="8" t="s">
        <v>929</v>
      </c>
      <c r="D667" s="8" t="s">
        <v>929</v>
      </c>
      <c r="E667" s="8" t="s">
        <v>103</v>
      </c>
      <c r="F667" s="8"/>
      <c r="G667" s="8"/>
      <c r="H667" s="8" t="s">
        <v>930</v>
      </c>
    </row>
    <row r="668" spans="1:8" x14ac:dyDescent="0.3">
      <c r="A668" s="2" t="str">
        <f t="shared" si="52"/>
        <v>France-Markit Construction Surveys</v>
      </c>
      <c r="B668" s="8" t="s">
        <v>281</v>
      </c>
      <c r="C668" s="8" t="s">
        <v>929</v>
      </c>
      <c r="D668" s="8" t="s">
        <v>929</v>
      </c>
      <c r="E668" s="8" t="s">
        <v>103</v>
      </c>
      <c r="F668" s="8"/>
      <c r="G668" s="8"/>
      <c r="H668" s="8" t="s">
        <v>931</v>
      </c>
    </row>
    <row r="669" spans="1:8" x14ac:dyDescent="0.3">
      <c r="A669" s="2" t="str">
        <f t="shared" si="52"/>
        <v>Germany-Markit Construction Surveys</v>
      </c>
      <c r="B669" s="8" t="s">
        <v>290</v>
      </c>
      <c r="C669" s="8" t="s">
        <v>929</v>
      </c>
      <c r="D669" s="8" t="s">
        <v>929</v>
      </c>
      <c r="E669" s="8" t="s">
        <v>103</v>
      </c>
      <c r="F669" s="8"/>
      <c r="G669" s="8"/>
      <c r="H669" s="8" t="s">
        <v>932</v>
      </c>
    </row>
    <row r="670" spans="1:8" x14ac:dyDescent="0.3">
      <c r="A670" s="2" t="str">
        <f t="shared" si="52"/>
        <v>Ireland-Markit Construction Surveys</v>
      </c>
      <c r="B670" s="8" t="s">
        <v>332</v>
      </c>
      <c r="C670" s="8" t="s">
        <v>929</v>
      </c>
      <c r="D670" s="8" t="s">
        <v>929</v>
      </c>
      <c r="E670" s="8" t="s">
        <v>103</v>
      </c>
      <c r="F670" s="8"/>
      <c r="G670" s="8"/>
      <c r="H670" s="8" t="s">
        <v>933</v>
      </c>
    </row>
    <row r="671" spans="1:8" x14ac:dyDescent="0.3">
      <c r="A671" s="2" t="str">
        <f t="shared" si="52"/>
        <v>Italy-Markit Construction Surveys</v>
      </c>
      <c r="B671" s="8" t="s">
        <v>338</v>
      </c>
      <c r="C671" s="8" t="s">
        <v>929</v>
      </c>
      <c r="D671" s="8" t="s">
        <v>929</v>
      </c>
      <c r="E671" s="8" t="s">
        <v>103</v>
      </c>
      <c r="F671" s="8"/>
      <c r="G671" s="8"/>
      <c r="H671" s="8" t="s">
        <v>934</v>
      </c>
    </row>
    <row r="672" spans="1:8" x14ac:dyDescent="0.3">
      <c r="A672" s="2" t="str">
        <f t="shared" si="52"/>
        <v>United Kingdom-Markit Construction Surveys</v>
      </c>
      <c r="B672" s="8" t="s">
        <v>128</v>
      </c>
      <c r="C672" s="8" t="s">
        <v>929</v>
      </c>
      <c r="D672" s="8" t="s">
        <v>929</v>
      </c>
      <c r="E672" s="8" t="s">
        <v>103</v>
      </c>
      <c r="F672" s="8"/>
      <c r="G672" s="8"/>
      <c r="H672" s="8" t="s">
        <v>935</v>
      </c>
    </row>
    <row r="673" spans="1:8" x14ac:dyDescent="0.3">
      <c r="A673" s="2" t="str">
        <f t="shared" si="52"/>
        <v>Egypt-Markit Whole Economy Surveys</v>
      </c>
      <c r="B673" s="8" t="s">
        <v>261</v>
      </c>
      <c r="C673" s="8" t="s">
        <v>936</v>
      </c>
      <c r="D673" s="8" t="s">
        <v>936</v>
      </c>
      <c r="E673" s="8" t="s">
        <v>103</v>
      </c>
      <c r="F673" s="8"/>
      <c r="G673" s="8"/>
      <c r="H673" s="8" t="s">
        <v>937</v>
      </c>
    </row>
    <row r="674" spans="1:8" x14ac:dyDescent="0.3">
      <c r="A674" s="2" t="str">
        <f t="shared" si="52"/>
        <v>Hong Kong-Markit Whole Economy Surveys</v>
      </c>
      <c r="B674" s="8" t="s">
        <v>318</v>
      </c>
      <c r="C674" s="8" t="s">
        <v>936</v>
      </c>
      <c r="D674" s="8" t="s">
        <v>936</v>
      </c>
      <c r="E674" s="8" t="s">
        <v>103</v>
      </c>
      <c r="F674" s="8"/>
      <c r="G674" s="8"/>
      <c r="H674" s="8" t="s">
        <v>938</v>
      </c>
    </row>
    <row r="675" spans="1:8" x14ac:dyDescent="0.3">
      <c r="A675" s="2" t="str">
        <f t="shared" si="52"/>
        <v>Kenya-Markit Whole Economy Surveys</v>
      </c>
      <c r="B675" s="8" t="s">
        <v>349</v>
      </c>
      <c r="C675" s="8" t="s">
        <v>936</v>
      </c>
      <c r="D675" s="8" t="s">
        <v>936</v>
      </c>
      <c r="E675" s="8" t="s">
        <v>103</v>
      </c>
      <c r="F675" s="8"/>
      <c r="G675" s="8"/>
      <c r="H675" s="8" t="s">
        <v>939</v>
      </c>
    </row>
    <row r="676" spans="1:8" x14ac:dyDescent="0.3">
      <c r="A676" s="2" t="str">
        <f t="shared" si="52"/>
        <v>Lebanon-Markit Whole Economy Surveys</v>
      </c>
      <c r="B676" s="8" t="s">
        <v>366</v>
      </c>
      <c r="C676" s="8" t="s">
        <v>936</v>
      </c>
      <c r="D676" s="8" t="s">
        <v>936</v>
      </c>
      <c r="E676" s="8" t="s">
        <v>103</v>
      </c>
      <c r="F676" s="8"/>
      <c r="G676" s="8"/>
      <c r="H676" s="8" t="s">
        <v>940</v>
      </c>
    </row>
    <row r="677" spans="1:8" x14ac:dyDescent="0.3">
      <c r="A677" s="2" t="str">
        <f t="shared" si="52"/>
        <v>Saudi Arabia-Markit Whole Economy Surveys</v>
      </c>
      <c r="B677" s="8" t="s">
        <v>484</v>
      </c>
      <c r="C677" s="8" t="s">
        <v>936</v>
      </c>
      <c r="D677" s="8" t="s">
        <v>936</v>
      </c>
      <c r="E677" s="8" t="s">
        <v>103</v>
      </c>
      <c r="F677" s="8"/>
      <c r="G677" s="8"/>
      <c r="H677" s="8" t="s">
        <v>941</v>
      </c>
    </row>
    <row r="678" spans="1:8" x14ac:dyDescent="0.3">
      <c r="A678" s="2" t="str">
        <f t="shared" si="52"/>
        <v>Singapore-Markit Whole Economy Surveys</v>
      </c>
      <c r="B678" s="8" t="s">
        <v>494</v>
      </c>
      <c r="C678" s="8" t="s">
        <v>936</v>
      </c>
      <c r="D678" s="8" t="s">
        <v>936</v>
      </c>
      <c r="E678" s="8" t="s">
        <v>103</v>
      </c>
      <c r="F678" s="8"/>
      <c r="G678" s="8"/>
      <c r="H678" s="8" t="s">
        <v>942</v>
      </c>
    </row>
    <row r="679" spans="1:8" x14ac:dyDescent="0.3">
      <c r="A679" s="2" t="str">
        <f t="shared" si="52"/>
        <v>South Africa-Markit Whole Economy Surveys</v>
      </c>
      <c r="B679" s="8" t="s">
        <v>506</v>
      </c>
      <c r="C679" s="8" t="s">
        <v>936</v>
      </c>
      <c r="D679" s="8" t="s">
        <v>936</v>
      </c>
      <c r="E679" s="8" t="s">
        <v>103</v>
      </c>
      <c r="F679" s="8"/>
      <c r="G679" s="8"/>
      <c r="H679" s="8" t="s">
        <v>943</v>
      </c>
    </row>
    <row r="680" spans="1:8" x14ac:dyDescent="0.3">
      <c r="A680" s="2" t="str">
        <f t="shared" si="52"/>
        <v>UAE-Markit Whole Economy Surveys</v>
      </c>
      <c r="B680" s="8" t="s">
        <v>947</v>
      </c>
      <c r="C680" s="8" t="s">
        <v>936</v>
      </c>
      <c r="D680" s="8" t="s">
        <v>936</v>
      </c>
      <c r="E680" s="8" t="s">
        <v>103</v>
      </c>
      <c r="F680" s="8"/>
      <c r="G680" s="8"/>
      <c r="H680" s="8" t="s">
        <v>944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B3:J353"/>
  <sheetViews>
    <sheetView topLeftCell="A325" workbookViewId="0">
      <selection activeCell="D25" sqref="D25:J353"/>
    </sheetView>
  </sheetViews>
  <sheetFormatPr defaultRowHeight="10.15" x14ac:dyDescent="0.3"/>
  <cols>
    <col min="1" max="4" width="9.06640625" style="8"/>
    <col min="5" max="5" width="23.1328125" style="8" customWidth="1"/>
    <col min="6" max="16384" width="9.06640625" style="8"/>
  </cols>
  <sheetData>
    <row r="3" spans="2:10" x14ac:dyDescent="0.3">
      <c r="C3" s="8" t="s">
        <v>581</v>
      </c>
      <c r="D3" s="8" t="s">
        <v>136</v>
      </c>
      <c r="E3" s="8" t="s">
        <v>584</v>
      </c>
      <c r="H3" s="8" t="s">
        <v>589</v>
      </c>
      <c r="I3" s="8" t="s">
        <v>136</v>
      </c>
    </row>
    <row r="4" spans="2:10" x14ac:dyDescent="0.3">
      <c r="C4" s="8" t="s">
        <v>582</v>
      </c>
      <c r="D4" s="8" t="s">
        <v>127</v>
      </c>
      <c r="E4" s="8" t="s">
        <v>584</v>
      </c>
    </row>
    <row r="5" spans="2:10" x14ac:dyDescent="0.3">
      <c r="C5" s="8" t="s">
        <v>583</v>
      </c>
      <c r="D5" s="8" t="s">
        <v>128</v>
      </c>
      <c r="E5" s="8" t="s">
        <v>584</v>
      </c>
    </row>
    <row r="6" spans="2:10" x14ac:dyDescent="0.3">
      <c r="C6" s="8" t="s">
        <v>585</v>
      </c>
      <c r="D6" s="8" t="s">
        <v>131</v>
      </c>
      <c r="E6" s="8" t="s">
        <v>584</v>
      </c>
      <c r="F6" s="8" t="s">
        <v>586</v>
      </c>
      <c r="H6" s="8" t="s">
        <v>587</v>
      </c>
      <c r="I6" s="8" t="s">
        <v>129</v>
      </c>
      <c r="J6" s="8" t="s">
        <v>588</v>
      </c>
    </row>
    <row r="7" spans="2:10" x14ac:dyDescent="0.3">
      <c r="C7" s="8" t="s">
        <v>590</v>
      </c>
      <c r="D7" s="8" t="s">
        <v>129</v>
      </c>
      <c r="E7" s="8" t="s">
        <v>584</v>
      </c>
    </row>
    <row r="8" spans="2:10" x14ac:dyDescent="0.3">
      <c r="C8" s="8" t="s">
        <v>591</v>
      </c>
      <c r="D8" s="8" t="s">
        <v>132</v>
      </c>
      <c r="E8" s="8" t="s">
        <v>584</v>
      </c>
    </row>
    <row r="9" spans="2:10" x14ac:dyDescent="0.3">
      <c r="C9" s="8" t="s">
        <v>592</v>
      </c>
      <c r="D9" s="8" t="s">
        <v>133</v>
      </c>
      <c r="E9" s="8" t="s">
        <v>584</v>
      </c>
    </row>
    <row r="10" spans="2:10" x14ac:dyDescent="0.3">
      <c r="C10" s="8" t="s">
        <v>591</v>
      </c>
      <c r="D10" s="8" t="s">
        <v>134</v>
      </c>
      <c r="E10" s="8" t="s">
        <v>584</v>
      </c>
    </row>
    <row r="11" spans="2:10" x14ac:dyDescent="0.3">
      <c r="C11" s="8" t="s">
        <v>593</v>
      </c>
      <c r="D11" s="8" t="s">
        <v>135</v>
      </c>
      <c r="E11" s="8" t="s">
        <v>584</v>
      </c>
    </row>
    <row r="12" spans="2:10" x14ac:dyDescent="0.3">
      <c r="C12" s="8" t="s">
        <v>594</v>
      </c>
      <c r="D12" s="8" t="s">
        <v>130</v>
      </c>
      <c r="E12" s="8" t="s">
        <v>584</v>
      </c>
    </row>
    <row r="13" spans="2:10" x14ac:dyDescent="0.3">
      <c r="D13" s="8" t="s">
        <v>131</v>
      </c>
    </row>
    <row r="15" spans="2:10" x14ac:dyDescent="0.3">
      <c r="B15" s="8" t="s">
        <v>111</v>
      </c>
      <c r="C15" s="8" t="s">
        <v>597</v>
      </c>
      <c r="D15" s="8" t="s">
        <v>598</v>
      </c>
    </row>
    <row r="16" spans="2:10" x14ac:dyDescent="0.3">
      <c r="B16" s="9" t="s">
        <v>595</v>
      </c>
      <c r="C16" s="8" t="s">
        <v>596</v>
      </c>
      <c r="D16" s="8" t="s">
        <v>599</v>
      </c>
      <c r="E16" s="8" t="s">
        <v>128</v>
      </c>
    </row>
    <row r="17" spans="3:10" x14ac:dyDescent="0.3">
      <c r="C17" s="8" t="s">
        <v>600</v>
      </c>
      <c r="D17" s="8" t="s">
        <v>601</v>
      </c>
    </row>
    <row r="24" spans="3:10" x14ac:dyDescent="0.3">
      <c r="E24" s="8" t="s">
        <v>123</v>
      </c>
      <c r="F24" s="8" t="s">
        <v>948</v>
      </c>
      <c r="G24" s="3" t="s">
        <v>105</v>
      </c>
      <c r="H24" s="3" t="s">
        <v>120</v>
      </c>
      <c r="I24" s="3" t="s">
        <v>122</v>
      </c>
      <c r="J24" s="3" t="s">
        <v>121</v>
      </c>
    </row>
    <row r="25" spans="3:10" x14ac:dyDescent="0.3">
      <c r="D25" s="8" t="s">
        <v>132</v>
      </c>
      <c r="E25" s="8" t="s">
        <v>111</v>
      </c>
      <c r="F25" s="8" t="s">
        <v>111</v>
      </c>
      <c r="G25" s="8" t="s">
        <v>103</v>
      </c>
      <c r="J25" s="8" t="s">
        <v>613</v>
      </c>
    </row>
    <row r="26" spans="3:10" x14ac:dyDescent="0.3">
      <c r="D26" s="8" t="s">
        <v>131</v>
      </c>
      <c r="E26" s="8" t="s">
        <v>111</v>
      </c>
      <c r="F26" s="8" t="s">
        <v>111</v>
      </c>
      <c r="G26" s="8" t="s">
        <v>103</v>
      </c>
      <c r="I26" s="10"/>
      <c r="J26" s="8" t="s">
        <v>602</v>
      </c>
    </row>
    <row r="27" spans="3:10" x14ac:dyDescent="0.3">
      <c r="D27" s="8" t="s">
        <v>159</v>
      </c>
      <c r="E27" s="8" t="s">
        <v>111</v>
      </c>
      <c r="F27" s="8" t="s">
        <v>111</v>
      </c>
      <c r="G27" s="8" t="s">
        <v>103</v>
      </c>
      <c r="J27" s="8" t="s">
        <v>614</v>
      </c>
    </row>
    <row r="28" spans="3:10" x14ac:dyDescent="0.3">
      <c r="D28" s="8" t="s">
        <v>176</v>
      </c>
      <c r="E28" s="8" t="s">
        <v>111</v>
      </c>
      <c r="F28" s="8" t="s">
        <v>111</v>
      </c>
      <c r="G28" s="8" t="s">
        <v>103</v>
      </c>
      <c r="J28" s="8" t="s">
        <v>615</v>
      </c>
    </row>
    <row r="29" spans="3:10" x14ac:dyDescent="0.3">
      <c r="D29" s="8" t="s">
        <v>196</v>
      </c>
      <c r="E29" s="8" t="s">
        <v>111</v>
      </c>
      <c r="F29" s="8" t="s">
        <v>111</v>
      </c>
      <c r="G29" s="8" t="s">
        <v>103</v>
      </c>
      <c r="J29" s="8" t="s">
        <v>616</v>
      </c>
    </row>
    <row r="30" spans="3:10" x14ac:dyDescent="0.3">
      <c r="D30" s="8" t="s">
        <v>223</v>
      </c>
      <c r="E30" s="8" t="s">
        <v>111</v>
      </c>
      <c r="F30" s="8" t="s">
        <v>111</v>
      </c>
      <c r="G30" s="8" t="s">
        <v>103</v>
      </c>
      <c r="J30" s="8" t="s">
        <v>617</v>
      </c>
    </row>
    <row r="31" spans="3:10" x14ac:dyDescent="0.3">
      <c r="D31" s="8" t="s">
        <v>227</v>
      </c>
      <c r="E31" s="8" t="s">
        <v>111</v>
      </c>
      <c r="F31" s="8" t="s">
        <v>111</v>
      </c>
      <c r="G31" s="8" t="s">
        <v>103</v>
      </c>
      <c r="J31" s="8" t="s">
        <v>618</v>
      </c>
    </row>
    <row r="32" spans="3:10" x14ac:dyDescent="0.3">
      <c r="D32" s="8" t="s">
        <v>237</v>
      </c>
      <c r="E32" s="8" t="s">
        <v>111</v>
      </c>
      <c r="F32" s="8" t="s">
        <v>111</v>
      </c>
      <c r="G32" s="8" t="s">
        <v>103</v>
      </c>
      <c r="J32" s="8" t="s">
        <v>603</v>
      </c>
    </row>
    <row r="33" spans="4:10" x14ac:dyDescent="0.3">
      <c r="D33" s="8" t="s">
        <v>257</v>
      </c>
      <c r="E33" s="8" t="s">
        <v>111</v>
      </c>
      <c r="F33" s="8" t="s">
        <v>111</v>
      </c>
      <c r="G33" s="8" t="s">
        <v>103</v>
      </c>
      <c r="J33" s="8" t="s">
        <v>619</v>
      </c>
    </row>
    <row r="34" spans="4:10" x14ac:dyDescent="0.3">
      <c r="D34" s="8" t="s">
        <v>259</v>
      </c>
      <c r="E34" s="8" t="s">
        <v>111</v>
      </c>
      <c r="F34" s="8" t="s">
        <v>111</v>
      </c>
      <c r="G34" s="8" t="s">
        <v>103</v>
      </c>
      <c r="J34" s="8" t="s">
        <v>620</v>
      </c>
    </row>
    <row r="35" spans="4:10" x14ac:dyDescent="0.3">
      <c r="D35" s="8" t="s">
        <v>340</v>
      </c>
      <c r="E35" s="8" t="s">
        <v>111</v>
      </c>
      <c r="F35" s="8" t="s">
        <v>111</v>
      </c>
      <c r="G35" s="8" t="s">
        <v>103</v>
      </c>
      <c r="J35" s="8" t="s">
        <v>621</v>
      </c>
    </row>
    <row r="36" spans="4:10" x14ac:dyDescent="0.3">
      <c r="D36" s="8" t="s">
        <v>402</v>
      </c>
      <c r="E36" s="8" t="s">
        <v>111</v>
      </c>
      <c r="F36" s="8" t="s">
        <v>111</v>
      </c>
      <c r="G36" s="8" t="s">
        <v>103</v>
      </c>
      <c r="J36" s="8" t="s">
        <v>622</v>
      </c>
    </row>
    <row r="37" spans="4:10" x14ac:dyDescent="0.3">
      <c r="D37" s="8" t="s">
        <v>450</v>
      </c>
      <c r="E37" s="8" t="s">
        <v>111</v>
      </c>
      <c r="F37" s="8" t="s">
        <v>111</v>
      </c>
      <c r="G37" s="8" t="s">
        <v>103</v>
      </c>
      <c r="J37" s="8" t="s">
        <v>604</v>
      </c>
    </row>
    <row r="38" spans="4:10" x14ac:dyDescent="0.3">
      <c r="D38" s="8" t="s">
        <v>556</v>
      </c>
      <c r="E38" s="8" t="s">
        <v>111</v>
      </c>
      <c r="F38" s="8" t="s">
        <v>111</v>
      </c>
      <c r="G38" s="8" t="s">
        <v>103</v>
      </c>
      <c r="J38" s="8" t="s">
        <v>623</v>
      </c>
    </row>
    <row r="39" spans="4:10" x14ac:dyDescent="0.3">
      <c r="D39" s="8" t="s">
        <v>562</v>
      </c>
      <c r="E39" s="8" t="s">
        <v>111</v>
      </c>
      <c r="F39" s="8" t="s">
        <v>111</v>
      </c>
      <c r="G39" s="8" t="s">
        <v>103</v>
      </c>
      <c r="J39" s="8" t="s">
        <v>624</v>
      </c>
    </row>
    <row r="40" spans="4:10" x14ac:dyDescent="0.3">
      <c r="D40" s="8" t="s">
        <v>166</v>
      </c>
      <c r="E40" s="8" t="s">
        <v>111</v>
      </c>
      <c r="F40" s="8" t="s">
        <v>111</v>
      </c>
      <c r="G40" s="8" t="s">
        <v>103</v>
      </c>
      <c r="J40" s="8" t="s">
        <v>605</v>
      </c>
    </row>
    <row r="41" spans="4:10" x14ac:dyDescent="0.3">
      <c r="D41" s="8" t="s">
        <v>180</v>
      </c>
      <c r="E41" s="8" t="s">
        <v>111</v>
      </c>
      <c r="F41" s="8" t="s">
        <v>111</v>
      </c>
      <c r="G41" s="8" t="s">
        <v>103</v>
      </c>
      <c r="J41" s="8" t="s">
        <v>606</v>
      </c>
    </row>
    <row r="42" spans="4:10" x14ac:dyDescent="0.3">
      <c r="D42" s="8" t="s">
        <v>247</v>
      </c>
      <c r="E42" s="8" t="s">
        <v>111</v>
      </c>
      <c r="F42" s="8" t="s">
        <v>111</v>
      </c>
      <c r="G42" s="8" t="s">
        <v>103</v>
      </c>
      <c r="J42" s="8" t="s">
        <v>607</v>
      </c>
    </row>
    <row r="43" spans="4:10" x14ac:dyDescent="0.3">
      <c r="D43" s="8" t="s">
        <v>251</v>
      </c>
      <c r="E43" s="8" t="s">
        <v>111</v>
      </c>
      <c r="F43" s="8" t="s">
        <v>111</v>
      </c>
      <c r="G43" s="8" t="s">
        <v>103</v>
      </c>
      <c r="J43" s="8" t="s">
        <v>625</v>
      </c>
    </row>
    <row r="44" spans="4:10" x14ac:dyDescent="0.3">
      <c r="D44" s="8" t="s">
        <v>626</v>
      </c>
      <c r="E44" s="8" t="s">
        <v>111</v>
      </c>
      <c r="F44" s="8" t="s">
        <v>111</v>
      </c>
      <c r="G44" s="8" t="s">
        <v>103</v>
      </c>
      <c r="J44" s="8" t="s">
        <v>627</v>
      </c>
    </row>
    <row r="45" spans="4:10" x14ac:dyDescent="0.3">
      <c r="D45" s="8" t="s">
        <v>127</v>
      </c>
      <c r="E45" s="8" t="s">
        <v>111</v>
      </c>
      <c r="F45" s="8" t="s">
        <v>111</v>
      </c>
      <c r="G45" s="8" t="s">
        <v>103</v>
      </c>
      <c r="J45" s="8" t="s">
        <v>628</v>
      </c>
    </row>
    <row r="46" spans="4:10" x14ac:dyDescent="0.3">
      <c r="D46" s="8" t="s">
        <v>279</v>
      </c>
      <c r="E46" s="8" t="s">
        <v>111</v>
      </c>
      <c r="F46" s="8" t="s">
        <v>111</v>
      </c>
      <c r="G46" s="8" t="s">
        <v>103</v>
      </c>
      <c r="J46" s="8" t="s">
        <v>629</v>
      </c>
    </row>
    <row r="47" spans="4:10" x14ac:dyDescent="0.3">
      <c r="D47" s="8" t="s">
        <v>281</v>
      </c>
      <c r="E47" s="8" t="s">
        <v>111</v>
      </c>
      <c r="F47" s="8" t="s">
        <v>111</v>
      </c>
      <c r="G47" s="8" t="s">
        <v>103</v>
      </c>
      <c r="J47" s="8" t="s">
        <v>630</v>
      </c>
    </row>
    <row r="48" spans="4:10" x14ac:dyDescent="0.3">
      <c r="D48" s="8" t="s">
        <v>290</v>
      </c>
      <c r="E48" s="8" t="s">
        <v>111</v>
      </c>
      <c r="F48" s="8" t="s">
        <v>111</v>
      </c>
      <c r="G48" s="8" t="s">
        <v>103</v>
      </c>
      <c r="J48" s="8" t="s">
        <v>631</v>
      </c>
    </row>
    <row r="49" spans="4:10" x14ac:dyDescent="0.3">
      <c r="D49" s="8" t="s">
        <v>296</v>
      </c>
      <c r="E49" s="8" t="s">
        <v>111</v>
      </c>
      <c r="F49" s="8" t="s">
        <v>111</v>
      </c>
      <c r="G49" s="8" t="s">
        <v>103</v>
      </c>
      <c r="J49" s="8" t="s">
        <v>632</v>
      </c>
    </row>
    <row r="50" spans="4:10" x14ac:dyDescent="0.3">
      <c r="D50" s="8" t="s">
        <v>322</v>
      </c>
      <c r="E50" s="8" t="s">
        <v>111</v>
      </c>
      <c r="F50" s="8" t="s">
        <v>111</v>
      </c>
      <c r="G50" s="8" t="s">
        <v>103</v>
      </c>
      <c r="J50" s="8" t="s">
        <v>633</v>
      </c>
    </row>
    <row r="51" spans="4:10" x14ac:dyDescent="0.3">
      <c r="D51" s="8" t="s">
        <v>332</v>
      </c>
      <c r="E51" s="8" t="s">
        <v>111</v>
      </c>
      <c r="F51" s="8" t="s">
        <v>111</v>
      </c>
      <c r="G51" s="8" t="s">
        <v>103</v>
      </c>
      <c r="J51" s="8" t="s">
        <v>634</v>
      </c>
    </row>
    <row r="52" spans="4:10" x14ac:dyDescent="0.3">
      <c r="D52" s="8" t="s">
        <v>338</v>
      </c>
      <c r="E52" s="8" t="s">
        <v>111</v>
      </c>
      <c r="F52" s="8" t="s">
        <v>111</v>
      </c>
      <c r="G52" s="8" t="s">
        <v>103</v>
      </c>
      <c r="J52" s="8" t="s">
        <v>635</v>
      </c>
    </row>
    <row r="53" spans="4:10" x14ac:dyDescent="0.3">
      <c r="D53" s="8" t="s">
        <v>378</v>
      </c>
      <c r="E53" s="8" t="s">
        <v>111</v>
      </c>
      <c r="F53" s="8" t="s">
        <v>111</v>
      </c>
      <c r="G53" s="8" t="s">
        <v>103</v>
      </c>
      <c r="J53" s="8" t="s">
        <v>636</v>
      </c>
    </row>
    <row r="54" spans="4:10" x14ac:dyDescent="0.3">
      <c r="D54" s="8" t="s">
        <v>394</v>
      </c>
      <c r="E54" s="8" t="s">
        <v>111</v>
      </c>
      <c r="F54" s="8" t="s">
        <v>111</v>
      </c>
      <c r="G54" s="8" t="s">
        <v>103</v>
      </c>
      <c r="J54" s="8" t="s">
        <v>637</v>
      </c>
    </row>
    <row r="55" spans="4:10" x14ac:dyDescent="0.3">
      <c r="D55" s="8" t="s">
        <v>422</v>
      </c>
      <c r="E55" s="8" t="s">
        <v>111</v>
      </c>
      <c r="F55" s="8" t="s">
        <v>111</v>
      </c>
      <c r="G55" s="8" t="s">
        <v>103</v>
      </c>
      <c r="J55" s="8" t="s">
        <v>638</v>
      </c>
    </row>
    <row r="56" spans="4:10" x14ac:dyDescent="0.3">
      <c r="D56" s="8" t="s">
        <v>134</v>
      </c>
      <c r="E56" s="8" t="s">
        <v>111</v>
      </c>
      <c r="F56" s="8" t="s">
        <v>111</v>
      </c>
      <c r="G56" s="8" t="s">
        <v>103</v>
      </c>
      <c r="J56" s="8" t="s">
        <v>639</v>
      </c>
    </row>
    <row r="57" spans="4:10" x14ac:dyDescent="0.3">
      <c r="D57" s="8" t="s">
        <v>456</v>
      </c>
      <c r="E57" s="8" t="s">
        <v>111</v>
      </c>
      <c r="F57" s="8" t="s">
        <v>111</v>
      </c>
      <c r="G57" s="8" t="s">
        <v>103</v>
      </c>
      <c r="J57" s="8" t="s">
        <v>640</v>
      </c>
    </row>
    <row r="58" spans="4:10" x14ac:dyDescent="0.3">
      <c r="D58" s="8" t="s">
        <v>510</v>
      </c>
      <c r="E58" s="8" t="s">
        <v>111</v>
      </c>
      <c r="F58" s="8" t="s">
        <v>111</v>
      </c>
      <c r="G58" s="8" t="s">
        <v>103</v>
      </c>
      <c r="J58" s="8" t="s">
        <v>641</v>
      </c>
    </row>
    <row r="59" spans="4:10" x14ac:dyDescent="0.3">
      <c r="D59" s="8" t="s">
        <v>135</v>
      </c>
      <c r="E59" s="8" t="s">
        <v>111</v>
      </c>
      <c r="F59" s="8" t="s">
        <v>111</v>
      </c>
      <c r="G59" s="8" t="s">
        <v>103</v>
      </c>
      <c r="J59" s="8" t="s">
        <v>642</v>
      </c>
    </row>
    <row r="60" spans="4:10" x14ac:dyDescent="0.3">
      <c r="D60" s="8" t="s">
        <v>133</v>
      </c>
      <c r="E60" s="8" t="s">
        <v>111</v>
      </c>
      <c r="F60" s="8" t="s">
        <v>111</v>
      </c>
      <c r="G60" s="8" t="s">
        <v>103</v>
      </c>
      <c r="J60" s="8" t="s">
        <v>643</v>
      </c>
    </row>
    <row r="61" spans="4:10" x14ac:dyDescent="0.3">
      <c r="D61" s="8" t="s">
        <v>128</v>
      </c>
      <c r="E61" s="8" t="s">
        <v>111</v>
      </c>
      <c r="F61" s="8" t="s">
        <v>111</v>
      </c>
      <c r="G61" s="8" t="s">
        <v>103</v>
      </c>
      <c r="J61" s="8" t="s">
        <v>595</v>
      </c>
    </row>
    <row r="62" spans="4:10" x14ac:dyDescent="0.3">
      <c r="D62" s="8" t="s">
        <v>202</v>
      </c>
      <c r="E62" s="8" t="s">
        <v>111</v>
      </c>
      <c r="F62" s="8" t="s">
        <v>111</v>
      </c>
      <c r="G62" s="8" t="s">
        <v>103</v>
      </c>
      <c r="J62" s="8" t="s">
        <v>644</v>
      </c>
    </row>
    <row r="63" spans="4:10" x14ac:dyDescent="0.3">
      <c r="D63" s="8" t="s">
        <v>241</v>
      </c>
      <c r="E63" s="8" t="s">
        <v>111</v>
      </c>
      <c r="F63" s="8" t="s">
        <v>111</v>
      </c>
      <c r="G63" s="8" t="s">
        <v>103</v>
      </c>
      <c r="J63" s="8" t="s">
        <v>645</v>
      </c>
    </row>
    <row r="64" spans="4:10" x14ac:dyDescent="0.3">
      <c r="D64" s="8" t="s">
        <v>249</v>
      </c>
      <c r="E64" s="8" t="s">
        <v>111</v>
      </c>
      <c r="F64" s="8" t="s">
        <v>111</v>
      </c>
      <c r="G64" s="8" t="s">
        <v>103</v>
      </c>
      <c r="J64" s="8" t="s">
        <v>646</v>
      </c>
    </row>
    <row r="65" spans="4:10" x14ac:dyDescent="0.3">
      <c r="D65" s="8" t="s">
        <v>269</v>
      </c>
      <c r="E65" s="8" t="s">
        <v>111</v>
      </c>
      <c r="F65" s="8" t="s">
        <v>111</v>
      </c>
      <c r="G65" s="8" t="s">
        <v>103</v>
      </c>
      <c r="J65" s="8" t="s">
        <v>647</v>
      </c>
    </row>
    <row r="66" spans="4:10" x14ac:dyDescent="0.3">
      <c r="D66" s="8" t="s">
        <v>320</v>
      </c>
      <c r="E66" s="8" t="s">
        <v>111</v>
      </c>
      <c r="F66" s="8" t="s">
        <v>111</v>
      </c>
      <c r="G66" s="8" t="s">
        <v>103</v>
      </c>
      <c r="J66" s="8" t="s">
        <v>648</v>
      </c>
    </row>
    <row r="67" spans="4:10" x14ac:dyDescent="0.3">
      <c r="D67" s="8" t="s">
        <v>364</v>
      </c>
      <c r="E67" s="8" t="s">
        <v>111</v>
      </c>
      <c r="F67" s="8" t="s">
        <v>111</v>
      </c>
      <c r="G67" s="8" t="s">
        <v>103</v>
      </c>
      <c r="J67" s="8" t="s">
        <v>649</v>
      </c>
    </row>
    <row r="68" spans="4:10" x14ac:dyDescent="0.3">
      <c r="D68" s="8" t="s">
        <v>376</v>
      </c>
      <c r="E68" s="8" t="s">
        <v>111</v>
      </c>
      <c r="F68" s="8" t="s">
        <v>111</v>
      </c>
      <c r="G68" s="8" t="s">
        <v>103</v>
      </c>
      <c r="J68" s="8" t="s">
        <v>650</v>
      </c>
    </row>
    <row r="69" spans="4:10" x14ac:dyDescent="0.3">
      <c r="D69" s="8" t="s">
        <v>454</v>
      </c>
      <c r="E69" s="8" t="s">
        <v>111</v>
      </c>
      <c r="F69" s="8" t="s">
        <v>111</v>
      </c>
      <c r="G69" s="8" t="s">
        <v>103</v>
      </c>
      <c r="J69" s="8" t="s">
        <v>651</v>
      </c>
    </row>
    <row r="70" spans="4:10" x14ac:dyDescent="0.3">
      <c r="D70" s="8" t="s">
        <v>462</v>
      </c>
      <c r="E70" s="8" t="s">
        <v>111</v>
      </c>
      <c r="F70" s="8" t="s">
        <v>111</v>
      </c>
      <c r="G70" s="8" t="s">
        <v>103</v>
      </c>
      <c r="J70" s="8" t="s">
        <v>652</v>
      </c>
    </row>
    <row r="71" spans="4:10" x14ac:dyDescent="0.3">
      <c r="D71" s="8" t="s">
        <v>464</v>
      </c>
      <c r="E71" s="8" t="s">
        <v>111</v>
      </c>
      <c r="F71" s="8" t="s">
        <v>111</v>
      </c>
      <c r="G71" s="8" t="s">
        <v>103</v>
      </c>
      <c r="J71" s="8" t="s">
        <v>653</v>
      </c>
    </row>
    <row r="72" spans="4:10" x14ac:dyDescent="0.3">
      <c r="D72" s="8" t="s">
        <v>498</v>
      </c>
      <c r="E72" s="8" t="s">
        <v>111</v>
      </c>
      <c r="F72" s="8" t="s">
        <v>111</v>
      </c>
      <c r="G72" s="8" t="s">
        <v>103</v>
      </c>
      <c r="J72" s="8" t="s">
        <v>654</v>
      </c>
    </row>
    <row r="73" spans="4:10" x14ac:dyDescent="0.3">
      <c r="D73" s="8" t="s">
        <v>500</v>
      </c>
      <c r="E73" s="8" t="s">
        <v>111</v>
      </c>
      <c r="F73" s="8" t="s">
        <v>111</v>
      </c>
      <c r="G73" s="8" t="s">
        <v>103</v>
      </c>
      <c r="J73" s="8" t="s">
        <v>655</v>
      </c>
    </row>
    <row r="74" spans="4:10" x14ac:dyDescent="0.3">
      <c r="D74" s="8" t="s">
        <v>542</v>
      </c>
      <c r="E74" s="8" t="s">
        <v>111</v>
      </c>
      <c r="F74" s="8" t="s">
        <v>111</v>
      </c>
      <c r="G74" s="8" t="s">
        <v>103</v>
      </c>
      <c r="J74" s="8" t="s">
        <v>656</v>
      </c>
    </row>
    <row r="75" spans="4:10" x14ac:dyDescent="0.3">
      <c r="D75" s="8" t="s">
        <v>550</v>
      </c>
      <c r="E75" s="8" t="s">
        <v>111</v>
      </c>
      <c r="F75" s="8" t="s">
        <v>111</v>
      </c>
      <c r="G75" s="8" t="s">
        <v>103</v>
      </c>
      <c r="J75" s="8" t="s">
        <v>657</v>
      </c>
    </row>
    <row r="76" spans="4:10" x14ac:dyDescent="0.3">
      <c r="D76" s="8" t="s">
        <v>261</v>
      </c>
      <c r="E76" s="8" t="s">
        <v>111</v>
      </c>
      <c r="F76" s="8" t="s">
        <v>111</v>
      </c>
      <c r="G76" s="8" t="s">
        <v>103</v>
      </c>
      <c r="J76" s="8" t="s">
        <v>608</v>
      </c>
    </row>
    <row r="77" spans="4:10" x14ac:dyDescent="0.3">
      <c r="D77" s="8" t="s">
        <v>336</v>
      </c>
      <c r="E77" s="8" t="s">
        <v>111</v>
      </c>
      <c r="F77" s="8" t="s">
        <v>111</v>
      </c>
      <c r="G77" s="8" t="s">
        <v>103</v>
      </c>
      <c r="J77" s="8" t="s">
        <v>658</v>
      </c>
    </row>
    <row r="78" spans="4:10" x14ac:dyDescent="0.3">
      <c r="D78" s="8" t="s">
        <v>345</v>
      </c>
      <c r="E78" s="8" t="s">
        <v>111</v>
      </c>
      <c r="F78" s="8" t="s">
        <v>111</v>
      </c>
      <c r="G78" s="8" t="s">
        <v>103</v>
      </c>
      <c r="J78" s="8" t="s">
        <v>659</v>
      </c>
    </row>
    <row r="79" spans="4:10" x14ac:dyDescent="0.3">
      <c r="D79" s="8" t="s">
        <v>414</v>
      </c>
      <c r="E79" s="8" t="s">
        <v>111</v>
      </c>
      <c r="F79" s="8" t="s">
        <v>111</v>
      </c>
      <c r="G79" s="8" t="s">
        <v>103</v>
      </c>
      <c r="J79" s="8" t="s">
        <v>609</v>
      </c>
    </row>
    <row r="80" spans="4:10" x14ac:dyDescent="0.3">
      <c r="D80" s="8" t="s">
        <v>506</v>
      </c>
      <c r="E80" s="8" t="s">
        <v>111</v>
      </c>
      <c r="F80" s="8" t="s">
        <v>111</v>
      </c>
      <c r="G80" s="8" t="s">
        <v>103</v>
      </c>
      <c r="J80" s="8" t="s">
        <v>660</v>
      </c>
    </row>
    <row r="81" spans="4:10" x14ac:dyDescent="0.3">
      <c r="D81" s="8" t="s">
        <v>129</v>
      </c>
      <c r="E81" s="8" t="s">
        <v>111</v>
      </c>
      <c r="F81" s="8" t="s">
        <v>111</v>
      </c>
      <c r="G81" s="8" t="s">
        <v>103</v>
      </c>
      <c r="J81" s="8" t="s">
        <v>661</v>
      </c>
    </row>
    <row r="82" spans="4:10" x14ac:dyDescent="0.3">
      <c r="D82" s="8" t="s">
        <v>225</v>
      </c>
      <c r="E82" s="8" t="s">
        <v>111</v>
      </c>
      <c r="F82" s="8" t="s">
        <v>111</v>
      </c>
      <c r="G82" s="8" t="s">
        <v>103</v>
      </c>
      <c r="J82" s="8" t="s">
        <v>662</v>
      </c>
    </row>
    <row r="83" spans="4:10" x14ac:dyDescent="0.3">
      <c r="D83" s="8" t="s">
        <v>318</v>
      </c>
      <c r="E83" s="8" t="s">
        <v>111</v>
      </c>
      <c r="F83" s="8" t="s">
        <v>111</v>
      </c>
      <c r="G83" s="8" t="s">
        <v>103</v>
      </c>
      <c r="J83" s="8" t="s">
        <v>663</v>
      </c>
    </row>
    <row r="84" spans="4:10" x14ac:dyDescent="0.3">
      <c r="D84" s="8" t="s">
        <v>136</v>
      </c>
      <c r="E84" s="8" t="s">
        <v>111</v>
      </c>
      <c r="F84" s="8" t="s">
        <v>111</v>
      </c>
      <c r="G84" s="8" t="s">
        <v>103</v>
      </c>
      <c r="J84" s="8" t="s">
        <v>610</v>
      </c>
    </row>
    <row r="85" spans="4:10" x14ac:dyDescent="0.3">
      <c r="D85" s="8" t="s">
        <v>347</v>
      </c>
      <c r="E85" s="8" t="s">
        <v>111</v>
      </c>
      <c r="F85" s="8" t="s">
        <v>111</v>
      </c>
      <c r="G85" s="8" t="s">
        <v>103</v>
      </c>
      <c r="J85" s="8" t="s">
        <v>664</v>
      </c>
    </row>
    <row r="86" spans="4:10" x14ac:dyDescent="0.3">
      <c r="D86" s="8" t="s">
        <v>380</v>
      </c>
      <c r="E86" s="8" t="s">
        <v>111</v>
      </c>
      <c r="F86" s="8" t="s">
        <v>111</v>
      </c>
      <c r="G86" s="8" t="s">
        <v>103</v>
      </c>
      <c r="J86" s="8" t="s">
        <v>665</v>
      </c>
    </row>
    <row r="87" spans="4:10" x14ac:dyDescent="0.3">
      <c r="D87" s="8" t="s">
        <v>388</v>
      </c>
      <c r="E87" s="8" t="s">
        <v>111</v>
      </c>
      <c r="F87" s="8" t="s">
        <v>111</v>
      </c>
      <c r="G87" s="8" t="s">
        <v>103</v>
      </c>
      <c r="J87" s="8" t="s">
        <v>666</v>
      </c>
    </row>
    <row r="88" spans="4:10" x14ac:dyDescent="0.3">
      <c r="D88" s="8" t="s">
        <v>130</v>
      </c>
      <c r="E88" s="8" t="s">
        <v>111</v>
      </c>
      <c r="F88" s="8" t="s">
        <v>111</v>
      </c>
      <c r="G88" s="8" t="s">
        <v>103</v>
      </c>
      <c r="J88" s="8" t="s">
        <v>667</v>
      </c>
    </row>
    <row r="89" spans="4:10" x14ac:dyDescent="0.3">
      <c r="D89" s="8" t="s">
        <v>452</v>
      </c>
      <c r="E89" s="8" t="s">
        <v>111</v>
      </c>
      <c r="F89" s="8" t="s">
        <v>111</v>
      </c>
      <c r="G89" s="8" t="s">
        <v>103</v>
      </c>
      <c r="J89" s="8" t="s">
        <v>668</v>
      </c>
    </row>
    <row r="90" spans="4:10" x14ac:dyDescent="0.3">
      <c r="D90" s="8" t="s">
        <v>494</v>
      </c>
      <c r="E90" s="8" t="s">
        <v>111</v>
      </c>
      <c r="F90" s="8" t="s">
        <v>111</v>
      </c>
      <c r="G90" s="8" t="s">
        <v>103</v>
      </c>
      <c r="J90" s="8" t="s">
        <v>669</v>
      </c>
    </row>
    <row r="91" spans="4:10" x14ac:dyDescent="0.3">
      <c r="D91" s="8" t="s">
        <v>611</v>
      </c>
      <c r="E91" s="8" t="s">
        <v>111</v>
      </c>
      <c r="F91" s="8" t="s">
        <v>111</v>
      </c>
      <c r="G91" s="8" t="s">
        <v>103</v>
      </c>
      <c r="J91" s="8" t="s">
        <v>670</v>
      </c>
    </row>
    <row r="92" spans="4:10" x14ac:dyDescent="0.3">
      <c r="D92" s="8" t="s">
        <v>512</v>
      </c>
      <c r="E92" s="8" t="s">
        <v>111</v>
      </c>
      <c r="F92" s="8" t="s">
        <v>111</v>
      </c>
      <c r="G92" s="8" t="s">
        <v>103</v>
      </c>
      <c r="J92" s="8" t="s">
        <v>671</v>
      </c>
    </row>
    <row r="93" spans="4:10" x14ac:dyDescent="0.3">
      <c r="D93" s="8" t="s">
        <v>524</v>
      </c>
      <c r="E93" s="8" t="s">
        <v>111</v>
      </c>
      <c r="F93" s="8" t="s">
        <v>111</v>
      </c>
      <c r="G93" s="8" t="s">
        <v>103</v>
      </c>
      <c r="J93" s="8" t="s">
        <v>612</v>
      </c>
    </row>
    <row r="94" spans="4:10" x14ac:dyDescent="0.3">
      <c r="D94" s="8" t="s">
        <v>530</v>
      </c>
      <c r="E94" s="8" t="s">
        <v>111</v>
      </c>
      <c r="F94" s="8" t="s">
        <v>111</v>
      </c>
      <c r="G94" s="8" t="s">
        <v>103</v>
      </c>
      <c r="J94" s="8" t="s">
        <v>672</v>
      </c>
    </row>
    <row r="95" spans="4:10" x14ac:dyDescent="0.3">
      <c r="D95" s="8" t="s">
        <v>131</v>
      </c>
      <c r="E95" s="8" t="s">
        <v>728</v>
      </c>
      <c r="F95" s="8" t="s">
        <v>728</v>
      </c>
      <c r="G95" s="8" t="s">
        <v>139</v>
      </c>
      <c r="J95" s="8" t="s">
        <v>673</v>
      </c>
    </row>
    <row r="96" spans="4:10" x14ac:dyDescent="0.3">
      <c r="D96" s="8" t="s">
        <v>132</v>
      </c>
      <c r="E96" s="8" t="s">
        <v>728</v>
      </c>
      <c r="F96" s="8" t="s">
        <v>728</v>
      </c>
      <c r="G96" s="8" t="s">
        <v>139</v>
      </c>
      <c r="J96" s="8" t="s">
        <v>674</v>
      </c>
    </row>
    <row r="97" spans="4:10" x14ac:dyDescent="0.3">
      <c r="D97" s="8" t="s">
        <v>402</v>
      </c>
      <c r="E97" s="8" t="s">
        <v>728</v>
      </c>
      <c r="F97" s="8" t="s">
        <v>728</v>
      </c>
      <c r="G97" s="8" t="s">
        <v>139</v>
      </c>
      <c r="J97" s="8" t="s">
        <v>675</v>
      </c>
    </row>
    <row r="98" spans="4:10" x14ac:dyDescent="0.3">
      <c r="D98" s="8" t="s">
        <v>159</v>
      </c>
      <c r="E98" s="8" t="s">
        <v>728</v>
      </c>
      <c r="F98" s="8" t="s">
        <v>728</v>
      </c>
      <c r="G98" s="8" t="s">
        <v>139</v>
      </c>
      <c r="J98" s="8" t="s">
        <v>676</v>
      </c>
    </row>
    <row r="99" spans="4:10" x14ac:dyDescent="0.3">
      <c r="D99" s="8" t="s">
        <v>196</v>
      </c>
      <c r="E99" s="8" t="s">
        <v>728</v>
      </c>
      <c r="F99" s="8" t="s">
        <v>728</v>
      </c>
      <c r="G99" s="8" t="s">
        <v>139</v>
      </c>
      <c r="J99" s="8" t="s">
        <v>677</v>
      </c>
    </row>
    <row r="100" spans="4:10" x14ac:dyDescent="0.3">
      <c r="D100" s="8" t="s">
        <v>223</v>
      </c>
      <c r="E100" s="8" t="s">
        <v>728</v>
      </c>
      <c r="F100" s="8" t="s">
        <v>728</v>
      </c>
      <c r="G100" s="8" t="s">
        <v>139</v>
      </c>
      <c r="J100" s="8" t="s">
        <v>678</v>
      </c>
    </row>
    <row r="101" spans="4:10" x14ac:dyDescent="0.3">
      <c r="D101" s="8" t="s">
        <v>227</v>
      </c>
      <c r="E101" s="8" t="s">
        <v>728</v>
      </c>
      <c r="F101" s="8" t="s">
        <v>728</v>
      </c>
      <c r="G101" s="8" t="s">
        <v>139</v>
      </c>
      <c r="J101" s="8" t="s">
        <v>679</v>
      </c>
    </row>
    <row r="102" spans="4:10" x14ac:dyDescent="0.3">
      <c r="D102" s="8" t="s">
        <v>237</v>
      </c>
      <c r="E102" s="8" t="s">
        <v>728</v>
      </c>
      <c r="F102" s="8" t="s">
        <v>728</v>
      </c>
      <c r="G102" s="8" t="s">
        <v>139</v>
      </c>
      <c r="J102" s="8" t="s">
        <v>680</v>
      </c>
    </row>
    <row r="103" spans="4:10" x14ac:dyDescent="0.3">
      <c r="D103" s="8" t="s">
        <v>259</v>
      </c>
      <c r="E103" s="8" t="s">
        <v>728</v>
      </c>
      <c r="F103" s="8" t="s">
        <v>728</v>
      </c>
      <c r="G103" s="8" t="s">
        <v>139</v>
      </c>
      <c r="J103" s="8" t="s">
        <v>681</v>
      </c>
    </row>
    <row r="104" spans="4:10" x14ac:dyDescent="0.3">
      <c r="D104" s="8" t="s">
        <v>127</v>
      </c>
      <c r="E104" s="8" t="s">
        <v>728</v>
      </c>
      <c r="F104" s="8" t="s">
        <v>728</v>
      </c>
      <c r="G104" s="8" t="s">
        <v>139</v>
      </c>
      <c r="J104" s="8" t="s">
        <v>682</v>
      </c>
    </row>
    <row r="105" spans="4:10" x14ac:dyDescent="0.3">
      <c r="D105" s="8" t="s">
        <v>683</v>
      </c>
      <c r="E105" s="8" t="s">
        <v>728</v>
      </c>
      <c r="F105" s="8" t="s">
        <v>728</v>
      </c>
      <c r="G105" s="8" t="s">
        <v>139</v>
      </c>
      <c r="J105" s="8" t="s">
        <v>684</v>
      </c>
    </row>
    <row r="106" spans="4:10" x14ac:dyDescent="0.3">
      <c r="D106" s="8" t="s">
        <v>685</v>
      </c>
      <c r="E106" s="8" t="s">
        <v>728</v>
      </c>
      <c r="F106" s="8" t="s">
        <v>728</v>
      </c>
      <c r="G106" s="8" t="s">
        <v>139</v>
      </c>
      <c r="J106" s="8" t="s">
        <v>686</v>
      </c>
    </row>
    <row r="107" spans="4:10" x14ac:dyDescent="0.3">
      <c r="D107" s="8" t="s">
        <v>166</v>
      </c>
      <c r="E107" s="8" t="s">
        <v>728</v>
      </c>
      <c r="F107" s="8" t="s">
        <v>728</v>
      </c>
      <c r="G107" s="8" t="s">
        <v>139</v>
      </c>
      <c r="J107" s="8" t="s">
        <v>687</v>
      </c>
    </row>
    <row r="108" spans="4:10" x14ac:dyDescent="0.3">
      <c r="D108" s="8" t="s">
        <v>180</v>
      </c>
      <c r="E108" s="8" t="s">
        <v>728</v>
      </c>
      <c r="F108" s="8" t="s">
        <v>728</v>
      </c>
      <c r="G108" s="8" t="s">
        <v>139</v>
      </c>
      <c r="J108" s="8" t="s">
        <v>688</v>
      </c>
    </row>
    <row r="109" spans="4:10" x14ac:dyDescent="0.3">
      <c r="D109" s="8" t="s">
        <v>247</v>
      </c>
      <c r="E109" s="8" t="s">
        <v>728</v>
      </c>
      <c r="F109" s="8" t="s">
        <v>728</v>
      </c>
      <c r="G109" s="8" t="s">
        <v>139</v>
      </c>
      <c r="J109" s="8" t="s">
        <v>689</v>
      </c>
    </row>
    <row r="110" spans="4:10" x14ac:dyDescent="0.3">
      <c r="D110" s="8" t="s">
        <v>249</v>
      </c>
      <c r="E110" s="8" t="s">
        <v>728</v>
      </c>
      <c r="F110" s="8" t="s">
        <v>728</v>
      </c>
      <c r="G110" s="8" t="s">
        <v>139</v>
      </c>
      <c r="J110" s="8" t="s">
        <v>690</v>
      </c>
    </row>
    <row r="111" spans="4:10" x14ac:dyDescent="0.3">
      <c r="D111" s="8" t="s">
        <v>251</v>
      </c>
      <c r="E111" s="8" t="s">
        <v>728</v>
      </c>
      <c r="F111" s="8" t="s">
        <v>728</v>
      </c>
      <c r="G111" s="8" t="s">
        <v>139</v>
      </c>
      <c r="J111" s="8" t="s">
        <v>691</v>
      </c>
    </row>
    <row r="112" spans="4:10" x14ac:dyDescent="0.3">
      <c r="D112" s="8" t="s">
        <v>269</v>
      </c>
      <c r="E112" s="8" t="s">
        <v>728</v>
      </c>
      <c r="F112" s="8" t="s">
        <v>728</v>
      </c>
      <c r="G112" s="8" t="s">
        <v>139</v>
      </c>
      <c r="J112" s="8" t="s">
        <v>692</v>
      </c>
    </row>
    <row r="113" spans="4:10" x14ac:dyDescent="0.3">
      <c r="D113" s="8" t="s">
        <v>279</v>
      </c>
      <c r="E113" s="8" t="s">
        <v>728</v>
      </c>
      <c r="F113" s="8" t="s">
        <v>728</v>
      </c>
      <c r="G113" s="8" t="s">
        <v>139</v>
      </c>
      <c r="J113" s="8" t="s">
        <v>693</v>
      </c>
    </row>
    <row r="114" spans="4:10" x14ac:dyDescent="0.3">
      <c r="D114" s="8" t="s">
        <v>281</v>
      </c>
      <c r="E114" s="8" t="s">
        <v>728</v>
      </c>
      <c r="F114" s="8" t="s">
        <v>728</v>
      </c>
      <c r="G114" s="8" t="s">
        <v>139</v>
      </c>
      <c r="J114" s="8" t="s">
        <v>694</v>
      </c>
    </row>
    <row r="115" spans="4:10" x14ac:dyDescent="0.3">
      <c r="D115" s="8" t="s">
        <v>290</v>
      </c>
      <c r="E115" s="8" t="s">
        <v>728</v>
      </c>
      <c r="F115" s="8" t="s">
        <v>728</v>
      </c>
      <c r="G115" s="8" t="s">
        <v>139</v>
      </c>
      <c r="J115" s="8" t="s">
        <v>695</v>
      </c>
    </row>
    <row r="116" spans="4:10" x14ac:dyDescent="0.3">
      <c r="D116" s="8" t="s">
        <v>296</v>
      </c>
      <c r="E116" s="8" t="s">
        <v>728</v>
      </c>
      <c r="F116" s="8" t="s">
        <v>728</v>
      </c>
      <c r="G116" s="8" t="s">
        <v>139</v>
      </c>
      <c r="J116" s="8" t="s">
        <v>696</v>
      </c>
    </row>
    <row r="117" spans="4:10" x14ac:dyDescent="0.3">
      <c r="D117" s="8" t="s">
        <v>320</v>
      </c>
      <c r="E117" s="8" t="s">
        <v>728</v>
      </c>
      <c r="F117" s="8" t="s">
        <v>728</v>
      </c>
      <c r="G117" s="8" t="s">
        <v>139</v>
      </c>
      <c r="J117" s="8" t="s">
        <v>697</v>
      </c>
    </row>
    <row r="118" spans="4:10" x14ac:dyDescent="0.3">
      <c r="D118" s="8" t="s">
        <v>332</v>
      </c>
      <c r="E118" s="8" t="s">
        <v>728</v>
      </c>
      <c r="F118" s="8" t="s">
        <v>728</v>
      </c>
      <c r="G118" s="8" t="s">
        <v>139</v>
      </c>
      <c r="J118" s="8" t="s">
        <v>698</v>
      </c>
    </row>
    <row r="119" spans="4:10" x14ac:dyDescent="0.3">
      <c r="D119" s="8" t="s">
        <v>338</v>
      </c>
      <c r="E119" s="8" t="s">
        <v>728</v>
      </c>
      <c r="F119" s="8" t="s">
        <v>728</v>
      </c>
      <c r="G119" s="8" t="s">
        <v>139</v>
      </c>
      <c r="J119" s="8" t="s">
        <v>699</v>
      </c>
    </row>
    <row r="120" spans="4:10" x14ac:dyDescent="0.3">
      <c r="D120" s="8" t="s">
        <v>364</v>
      </c>
      <c r="E120" s="8" t="s">
        <v>728</v>
      </c>
      <c r="F120" s="8" t="s">
        <v>728</v>
      </c>
      <c r="G120" s="8" t="s">
        <v>139</v>
      </c>
      <c r="J120" s="8" t="s">
        <v>700</v>
      </c>
    </row>
    <row r="121" spans="4:10" x14ac:dyDescent="0.3">
      <c r="D121" s="8" t="s">
        <v>376</v>
      </c>
      <c r="E121" s="8" t="s">
        <v>728</v>
      </c>
      <c r="F121" s="8" t="s">
        <v>728</v>
      </c>
      <c r="G121" s="8" t="s">
        <v>139</v>
      </c>
      <c r="J121" s="8" t="s">
        <v>701</v>
      </c>
    </row>
    <row r="122" spans="4:10" x14ac:dyDescent="0.3">
      <c r="D122" s="8" t="s">
        <v>378</v>
      </c>
      <c r="E122" s="8" t="s">
        <v>728</v>
      </c>
      <c r="F122" s="8" t="s">
        <v>728</v>
      </c>
      <c r="G122" s="8" t="s">
        <v>139</v>
      </c>
      <c r="J122" s="8" t="s">
        <v>702</v>
      </c>
    </row>
    <row r="123" spans="4:10" x14ac:dyDescent="0.3">
      <c r="D123" s="8" t="s">
        <v>394</v>
      </c>
      <c r="E123" s="8" t="s">
        <v>728</v>
      </c>
      <c r="F123" s="8" t="s">
        <v>728</v>
      </c>
      <c r="G123" s="8" t="s">
        <v>139</v>
      </c>
      <c r="J123" s="8" t="s">
        <v>703</v>
      </c>
    </row>
    <row r="124" spans="4:10" x14ac:dyDescent="0.3">
      <c r="D124" s="8" t="s">
        <v>422</v>
      </c>
      <c r="E124" s="8" t="s">
        <v>728</v>
      </c>
      <c r="F124" s="8" t="s">
        <v>728</v>
      </c>
      <c r="G124" s="8" t="s">
        <v>139</v>
      </c>
      <c r="J124" s="8" t="s">
        <v>704</v>
      </c>
    </row>
    <row r="125" spans="4:10" x14ac:dyDescent="0.3">
      <c r="D125" s="8" t="s">
        <v>134</v>
      </c>
      <c r="E125" s="8" t="s">
        <v>728</v>
      </c>
      <c r="F125" s="8" t="s">
        <v>728</v>
      </c>
      <c r="G125" s="8" t="s">
        <v>139</v>
      </c>
      <c r="J125" s="8" t="s">
        <v>705</v>
      </c>
    </row>
    <row r="126" spans="4:10" x14ac:dyDescent="0.3">
      <c r="D126" s="8" t="s">
        <v>454</v>
      </c>
      <c r="E126" s="8" t="s">
        <v>728</v>
      </c>
      <c r="F126" s="8" t="s">
        <v>728</v>
      </c>
      <c r="G126" s="8" t="s">
        <v>139</v>
      </c>
      <c r="J126" s="8" t="s">
        <v>706</v>
      </c>
    </row>
    <row r="127" spans="4:10" x14ac:dyDescent="0.3">
      <c r="D127" s="8" t="s">
        <v>456</v>
      </c>
      <c r="E127" s="8" t="s">
        <v>728</v>
      </c>
      <c r="F127" s="8" t="s">
        <v>728</v>
      </c>
      <c r="G127" s="8" t="s">
        <v>139</v>
      </c>
      <c r="J127" s="8" t="s">
        <v>707</v>
      </c>
    </row>
    <row r="128" spans="4:10" x14ac:dyDescent="0.3">
      <c r="D128" s="8" t="s">
        <v>464</v>
      </c>
      <c r="E128" s="8" t="s">
        <v>728</v>
      </c>
      <c r="F128" s="8" t="s">
        <v>728</v>
      </c>
      <c r="G128" s="8" t="s">
        <v>139</v>
      </c>
      <c r="J128" s="8" t="s">
        <v>708</v>
      </c>
    </row>
    <row r="129" spans="4:10" x14ac:dyDescent="0.3">
      <c r="D129" s="8" t="s">
        <v>498</v>
      </c>
      <c r="E129" s="8" t="s">
        <v>728</v>
      </c>
      <c r="F129" s="8" t="s">
        <v>728</v>
      </c>
      <c r="G129" s="8" t="s">
        <v>139</v>
      </c>
      <c r="J129" s="8" t="s">
        <v>709</v>
      </c>
    </row>
    <row r="130" spans="4:10" x14ac:dyDescent="0.3">
      <c r="D130" s="8" t="s">
        <v>500</v>
      </c>
      <c r="E130" s="8" t="s">
        <v>728</v>
      </c>
      <c r="F130" s="8" t="s">
        <v>728</v>
      </c>
      <c r="G130" s="8" t="s">
        <v>139</v>
      </c>
      <c r="J130" s="8" t="s">
        <v>710</v>
      </c>
    </row>
    <row r="131" spans="4:10" x14ac:dyDescent="0.3">
      <c r="D131" s="8" t="s">
        <v>510</v>
      </c>
      <c r="E131" s="8" t="s">
        <v>728</v>
      </c>
      <c r="F131" s="8" t="s">
        <v>728</v>
      </c>
      <c r="G131" s="8" t="s">
        <v>139</v>
      </c>
      <c r="J131" s="8" t="s">
        <v>711</v>
      </c>
    </row>
    <row r="132" spans="4:10" x14ac:dyDescent="0.3">
      <c r="D132" s="8" t="s">
        <v>135</v>
      </c>
      <c r="E132" s="8" t="s">
        <v>728</v>
      </c>
      <c r="F132" s="8" t="s">
        <v>728</v>
      </c>
      <c r="G132" s="8" t="s">
        <v>139</v>
      </c>
      <c r="J132" s="8" t="s">
        <v>712</v>
      </c>
    </row>
    <row r="133" spans="4:10" x14ac:dyDescent="0.3">
      <c r="D133" s="8" t="s">
        <v>133</v>
      </c>
      <c r="E133" s="8" t="s">
        <v>728</v>
      </c>
      <c r="F133" s="8" t="s">
        <v>728</v>
      </c>
      <c r="G133" s="8" t="s">
        <v>139</v>
      </c>
      <c r="J133" s="8" t="s">
        <v>713</v>
      </c>
    </row>
    <row r="134" spans="4:10" x14ac:dyDescent="0.3">
      <c r="D134" s="8" t="s">
        <v>542</v>
      </c>
      <c r="E134" s="8" t="s">
        <v>728</v>
      </c>
      <c r="F134" s="8" t="s">
        <v>728</v>
      </c>
      <c r="G134" s="8" t="s">
        <v>139</v>
      </c>
      <c r="J134" s="8" t="s">
        <v>714</v>
      </c>
    </row>
    <row r="135" spans="4:10" x14ac:dyDescent="0.3">
      <c r="D135" s="8" t="s">
        <v>128</v>
      </c>
      <c r="E135" s="8" t="s">
        <v>728</v>
      </c>
      <c r="F135" s="8" t="s">
        <v>728</v>
      </c>
      <c r="G135" s="8" t="s">
        <v>139</v>
      </c>
      <c r="J135" s="8" t="s">
        <v>715</v>
      </c>
    </row>
    <row r="136" spans="4:10" x14ac:dyDescent="0.3">
      <c r="D136" s="8" t="s">
        <v>336</v>
      </c>
      <c r="E136" s="8" t="s">
        <v>728</v>
      </c>
      <c r="F136" s="8" t="s">
        <v>728</v>
      </c>
      <c r="G136" s="8" t="s">
        <v>139</v>
      </c>
      <c r="J136" s="8" t="s">
        <v>716</v>
      </c>
    </row>
    <row r="137" spans="4:10" x14ac:dyDescent="0.3">
      <c r="D137" s="8" t="s">
        <v>349</v>
      </c>
      <c r="E137" s="8" t="s">
        <v>728</v>
      </c>
      <c r="F137" s="8" t="s">
        <v>728</v>
      </c>
      <c r="G137" s="8" t="s">
        <v>139</v>
      </c>
      <c r="J137" s="8" t="s">
        <v>717</v>
      </c>
    </row>
    <row r="138" spans="4:10" x14ac:dyDescent="0.3">
      <c r="D138" s="8" t="s">
        <v>506</v>
      </c>
      <c r="E138" s="8" t="s">
        <v>728</v>
      </c>
      <c r="F138" s="8" t="s">
        <v>728</v>
      </c>
      <c r="G138" s="8" t="s">
        <v>139</v>
      </c>
      <c r="J138" s="8" t="s">
        <v>718</v>
      </c>
    </row>
    <row r="139" spans="4:10" x14ac:dyDescent="0.3">
      <c r="D139" s="8" t="s">
        <v>129</v>
      </c>
      <c r="E139" s="8" t="s">
        <v>728</v>
      </c>
      <c r="F139" s="8" t="s">
        <v>728</v>
      </c>
      <c r="G139" s="8" t="s">
        <v>139</v>
      </c>
      <c r="J139" s="8" t="s">
        <v>719</v>
      </c>
    </row>
    <row r="140" spans="4:10" x14ac:dyDescent="0.3">
      <c r="D140" s="8" t="s">
        <v>225</v>
      </c>
      <c r="E140" s="8" t="s">
        <v>728</v>
      </c>
      <c r="F140" s="8" t="s">
        <v>728</v>
      </c>
      <c r="G140" s="8" t="s">
        <v>139</v>
      </c>
      <c r="J140" s="8" t="s">
        <v>720</v>
      </c>
    </row>
    <row r="141" spans="4:10" x14ac:dyDescent="0.3">
      <c r="D141" s="8" t="s">
        <v>136</v>
      </c>
      <c r="E141" s="8" t="s">
        <v>728</v>
      </c>
      <c r="F141" s="8" t="s">
        <v>728</v>
      </c>
      <c r="G141" s="8" t="s">
        <v>139</v>
      </c>
      <c r="J141" s="8" t="s">
        <v>721</v>
      </c>
    </row>
    <row r="142" spans="4:10" x14ac:dyDescent="0.3">
      <c r="D142" s="8" t="s">
        <v>130</v>
      </c>
      <c r="E142" s="8" t="s">
        <v>728</v>
      </c>
      <c r="F142" s="8" t="s">
        <v>728</v>
      </c>
      <c r="G142" s="8" t="s">
        <v>139</v>
      </c>
      <c r="J142" s="8" t="s">
        <v>722</v>
      </c>
    </row>
    <row r="143" spans="4:10" x14ac:dyDescent="0.3">
      <c r="D143" s="8" t="s">
        <v>452</v>
      </c>
      <c r="E143" s="8" t="s">
        <v>728</v>
      </c>
      <c r="F143" s="8" t="s">
        <v>728</v>
      </c>
      <c r="G143" s="8" t="s">
        <v>139</v>
      </c>
      <c r="J143" s="8" t="s">
        <v>723</v>
      </c>
    </row>
    <row r="144" spans="4:10" x14ac:dyDescent="0.3">
      <c r="D144" s="8" t="s">
        <v>494</v>
      </c>
      <c r="E144" s="8" t="s">
        <v>728</v>
      </c>
      <c r="F144" s="8" t="s">
        <v>728</v>
      </c>
      <c r="G144" s="8" t="s">
        <v>139</v>
      </c>
      <c r="J144" s="8" t="s">
        <v>724</v>
      </c>
    </row>
    <row r="145" spans="4:10" x14ac:dyDescent="0.3">
      <c r="D145" s="8" t="s">
        <v>611</v>
      </c>
      <c r="E145" s="8" t="s">
        <v>728</v>
      </c>
      <c r="F145" s="8" t="s">
        <v>728</v>
      </c>
      <c r="G145" s="8" t="s">
        <v>139</v>
      </c>
      <c r="J145" s="8" t="s">
        <v>725</v>
      </c>
    </row>
    <row r="146" spans="4:10" x14ac:dyDescent="0.3">
      <c r="D146" s="8" t="s">
        <v>524</v>
      </c>
      <c r="E146" s="8" t="s">
        <v>728</v>
      </c>
      <c r="F146" s="8" t="s">
        <v>728</v>
      </c>
      <c r="G146" s="8" t="s">
        <v>139</v>
      </c>
      <c r="J146" s="8" t="s">
        <v>726</v>
      </c>
    </row>
    <row r="147" spans="4:10" x14ac:dyDescent="0.3">
      <c r="D147" s="8" t="s">
        <v>530</v>
      </c>
      <c r="E147" s="8" t="s">
        <v>728</v>
      </c>
      <c r="F147" s="8" t="s">
        <v>728</v>
      </c>
      <c r="G147" s="8" t="s">
        <v>139</v>
      </c>
      <c r="J147" s="8" t="s">
        <v>727</v>
      </c>
    </row>
    <row r="148" spans="4:10" x14ac:dyDescent="0.3">
      <c r="D148" s="8" t="s">
        <v>132</v>
      </c>
      <c r="E148" s="8" t="s">
        <v>859</v>
      </c>
      <c r="F148" s="8" t="s">
        <v>859</v>
      </c>
      <c r="G148" s="8" t="s">
        <v>103</v>
      </c>
      <c r="J148" s="8" t="s">
        <v>729</v>
      </c>
    </row>
    <row r="149" spans="4:10" x14ac:dyDescent="0.3">
      <c r="D149" s="8" t="s">
        <v>131</v>
      </c>
      <c r="E149" s="8" t="s">
        <v>859</v>
      </c>
      <c r="F149" s="8" t="s">
        <v>859</v>
      </c>
      <c r="G149" s="8" t="s">
        <v>103</v>
      </c>
      <c r="J149" s="8" t="s">
        <v>730</v>
      </c>
    </row>
    <row r="150" spans="4:10" x14ac:dyDescent="0.3">
      <c r="D150" s="8" t="s">
        <v>731</v>
      </c>
      <c r="E150" s="8" t="s">
        <v>859</v>
      </c>
      <c r="F150" s="8" t="s">
        <v>859</v>
      </c>
      <c r="G150" s="8" t="s">
        <v>103</v>
      </c>
      <c r="J150" s="8" t="s">
        <v>732</v>
      </c>
    </row>
    <row r="151" spans="4:10" x14ac:dyDescent="0.3">
      <c r="D151" s="8" t="s">
        <v>176</v>
      </c>
      <c r="E151" s="8" t="s">
        <v>859</v>
      </c>
      <c r="F151" s="8" t="s">
        <v>859</v>
      </c>
      <c r="G151" s="8" t="s">
        <v>103</v>
      </c>
      <c r="J151" s="8" t="s">
        <v>733</v>
      </c>
    </row>
    <row r="152" spans="4:10" x14ac:dyDescent="0.3">
      <c r="D152" s="8" t="s">
        <v>182</v>
      </c>
      <c r="E152" s="8" t="s">
        <v>859</v>
      </c>
      <c r="F152" s="8" t="s">
        <v>859</v>
      </c>
      <c r="G152" s="8" t="s">
        <v>103</v>
      </c>
      <c r="J152" s="8" t="s">
        <v>734</v>
      </c>
    </row>
    <row r="153" spans="4:10" x14ac:dyDescent="0.3">
      <c r="D153" s="8" t="s">
        <v>186</v>
      </c>
      <c r="E153" s="8" t="s">
        <v>859</v>
      </c>
      <c r="F153" s="8" t="s">
        <v>859</v>
      </c>
      <c r="G153" s="8" t="s">
        <v>103</v>
      </c>
      <c r="J153" s="8" t="s">
        <v>735</v>
      </c>
    </row>
    <row r="154" spans="4:10" x14ac:dyDescent="0.3">
      <c r="D154" s="8" t="s">
        <v>190</v>
      </c>
      <c r="E154" s="8" t="s">
        <v>859</v>
      </c>
      <c r="F154" s="8" t="s">
        <v>859</v>
      </c>
      <c r="G154" s="8" t="s">
        <v>103</v>
      </c>
      <c r="J154" s="8" t="s">
        <v>736</v>
      </c>
    </row>
    <row r="155" spans="4:10" x14ac:dyDescent="0.3">
      <c r="D155" s="8" t="s">
        <v>196</v>
      </c>
      <c r="E155" s="8" t="s">
        <v>859</v>
      </c>
      <c r="F155" s="8" t="s">
        <v>859</v>
      </c>
      <c r="G155" s="8" t="s">
        <v>103</v>
      </c>
      <c r="J155" s="8" t="s">
        <v>737</v>
      </c>
    </row>
    <row r="156" spans="4:10" x14ac:dyDescent="0.3">
      <c r="D156" s="8" t="s">
        <v>223</v>
      </c>
      <c r="E156" s="8" t="s">
        <v>859</v>
      </c>
      <c r="F156" s="8" t="s">
        <v>859</v>
      </c>
      <c r="G156" s="8" t="s">
        <v>103</v>
      </c>
      <c r="J156" s="8" t="s">
        <v>738</v>
      </c>
    </row>
    <row r="157" spans="4:10" x14ac:dyDescent="0.3">
      <c r="D157" s="8" t="s">
        <v>227</v>
      </c>
      <c r="E157" s="8" t="s">
        <v>859</v>
      </c>
      <c r="F157" s="8" t="s">
        <v>859</v>
      </c>
      <c r="G157" s="8" t="s">
        <v>103</v>
      </c>
      <c r="J157" s="8" t="s">
        <v>739</v>
      </c>
    </row>
    <row r="158" spans="4:10" x14ac:dyDescent="0.3">
      <c r="D158" s="8" t="s">
        <v>237</v>
      </c>
      <c r="E158" s="8" t="s">
        <v>859</v>
      </c>
      <c r="F158" s="8" t="s">
        <v>859</v>
      </c>
      <c r="G158" s="8" t="s">
        <v>103</v>
      </c>
      <c r="J158" s="8" t="s">
        <v>740</v>
      </c>
    </row>
    <row r="159" spans="4:10" x14ac:dyDescent="0.3">
      <c r="D159" s="8" t="s">
        <v>257</v>
      </c>
      <c r="E159" s="8" t="s">
        <v>859</v>
      </c>
      <c r="F159" s="8" t="s">
        <v>859</v>
      </c>
      <c r="G159" s="8" t="s">
        <v>103</v>
      </c>
      <c r="J159" s="8" t="s">
        <v>741</v>
      </c>
    </row>
    <row r="160" spans="4:10" x14ac:dyDescent="0.3">
      <c r="D160" s="8" t="s">
        <v>259</v>
      </c>
      <c r="E160" s="8" t="s">
        <v>859</v>
      </c>
      <c r="F160" s="8" t="s">
        <v>859</v>
      </c>
      <c r="G160" s="8" t="s">
        <v>103</v>
      </c>
      <c r="J160" s="8" t="s">
        <v>742</v>
      </c>
    </row>
    <row r="161" spans="4:10" x14ac:dyDescent="0.3">
      <c r="D161" s="8" t="s">
        <v>263</v>
      </c>
      <c r="E161" s="8" t="s">
        <v>859</v>
      </c>
      <c r="F161" s="8" t="s">
        <v>859</v>
      </c>
      <c r="G161" s="8" t="s">
        <v>103</v>
      </c>
      <c r="J161" s="8" t="s">
        <v>743</v>
      </c>
    </row>
    <row r="162" spans="4:10" x14ac:dyDescent="0.3">
      <c r="D162" s="8" t="s">
        <v>304</v>
      </c>
      <c r="E162" s="8" t="s">
        <v>859</v>
      </c>
      <c r="F162" s="8" t="s">
        <v>859</v>
      </c>
      <c r="G162" s="8" t="s">
        <v>103</v>
      </c>
      <c r="J162" s="8" t="s">
        <v>744</v>
      </c>
    </row>
    <row r="163" spans="4:10" x14ac:dyDescent="0.3">
      <c r="D163" s="8" t="s">
        <v>316</v>
      </c>
      <c r="E163" s="8" t="s">
        <v>859</v>
      </c>
      <c r="F163" s="8" t="s">
        <v>859</v>
      </c>
      <c r="G163" s="8" t="s">
        <v>103</v>
      </c>
      <c r="J163" s="8" t="s">
        <v>745</v>
      </c>
    </row>
    <row r="164" spans="4:10" x14ac:dyDescent="0.3">
      <c r="D164" s="8" t="s">
        <v>340</v>
      </c>
      <c r="E164" s="8" t="s">
        <v>859</v>
      </c>
      <c r="F164" s="8" t="s">
        <v>859</v>
      </c>
      <c r="G164" s="8" t="s">
        <v>103</v>
      </c>
      <c r="J164" s="8" t="s">
        <v>746</v>
      </c>
    </row>
    <row r="165" spans="4:10" x14ac:dyDescent="0.3">
      <c r="D165" s="8" t="s">
        <v>402</v>
      </c>
      <c r="E165" s="8" t="s">
        <v>859</v>
      </c>
      <c r="F165" s="8" t="s">
        <v>859</v>
      </c>
      <c r="G165" s="8" t="s">
        <v>103</v>
      </c>
      <c r="J165" s="8" t="s">
        <v>747</v>
      </c>
    </row>
    <row r="166" spans="4:10" x14ac:dyDescent="0.3">
      <c r="D166" s="8" t="s">
        <v>427</v>
      </c>
      <c r="E166" s="8" t="s">
        <v>859</v>
      </c>
      <c r="F166" s="8" t="s">
        <v>859</v>
      </c>
      <c r="G166" s="8" t="s">
        <v>103</v>
      </c>
      <c r="J166" s="8" t="s">
        <v>748</v>
      </c>
    </row>
    <row r="167" spans="4:10" x14ac:dyDescent="0.3">
      <c r="D167" s="8" t="s">
        <v>444</v>
      </c>
      <c r="E167" s="8" t="s">
        <v>859</v>
      </c>
      <c r="F167" s="8" t="s">
        <v>859</v>
      </c>
      <c r="G167" s="8" t="s">
        <v>103</v>
      </c>
      <c r="J167" s="8" t="s">
        <v>749</v>
      </c>
    </row>
    <row r="168" spans="4:10" x14ac:dyDescent="0.3">
      <c r="D168" s="8" t="s">
        <v>448</v>
      </c>
      <c r="E168" s="8" t="s">
        <v>859</v>
      </c>
      <c r="F168" s="8" t="s">
        <v>859</v>
      </c>
      <c r="G168" s="8" t="s">
        <v>103</v>
      </c>
      <c r="J168" s="8" t="s">
        <v>750</v>
      </c>
    </row>
    <row r="169" spans="4:10" x14ac:dyDescent="0.3">
      <c r="D169" s="8" t="s">
        <v>450</v>
      </c>
      <c r="E169" s="8" t="s">
        <v>859</v>
      </c>
      <c r="F169" s="8" t="s">
        <v>859</v>
      </c>
      <c r="G169" s="8" t="s">
        <v>103</v>
      </c>
      <c r="J169" s="8" t="s">
        <v>751</v>
      </c>
    </row>
    <row r="170" spans="4:10" x14ac:dyDescent="0.3">
      <c r="D170" s="8" t="s">
        <v>458</v>
      </c>
      <c r="E170" s="8" t="s">
        <v>859</v>
      </c>
      <c r="F170" s="8" t="s">
        <v>859</v>
      </c>
      <c r="G170" s="8" t="s">
        <v>103</v>
      </c>
      <c r="J170" s="8" t="s">
        <v>752</v>
      </c>
    </row>
    <row r="171" spans="4:10" x14ac:dyDescent="0.3">
      <c r="D171" s="8" t="s">
        <v>753</v>
      </c>
      <c r="E171" s="8" t="s">
        <v>859</v>
      </c>
      <c r="F171" s="8" t="s">
        <v>859</v>
      </c>
      <c r="G171" s="8" t="s">
        <v>103</v>
      </c>
      <c r="J171" s="8" t="s">
        <v>754</v>
      </c>
    </row>
    <row r="172" spans="4:10" x14ac:dyDescent="0.3">
      <c r="D172" s="8" t="s">
        <v>556</v>
      </c>
      <c r="E172" s="8" t="s">
        <v>859</v>
      </c>
      <c r="F172" s="8" t="s">
        <v>859</v>
      </c>
      <c r="G172" s="8" t="s">
        <v>103</v>
      </c>
      <c r="J172" s="8" t="s">
        <v>755</v>
      </c>
    </row>
    <row r="173" spans="4:10" x14ac:dyDescent="0.3">
      <c r="D173" s="8" t="s">
        <v>562</v>
      </c>
      <c r="E173" s="8" t="s">
        <v>859</v>
      </c>
      <c r="F173" s="8" t="s">
        <v>859</v>
      </c>
      <c r="G173" s="8" t="s">
        <v>103</v>
      </c>
      <c r="J173" s="8" t="s">
        <v>756</v>
      </c>
    </row>
    <row r="174" spans="4:10" x14ac:dyDescent="0.3">
      <c r="D174" s="8" t="s">
        <v>166</v>
      </c>
      <c r="E174" s="8" t="s">
        <v>859</v>
      </c>
      <c r="F174" s="8" t="s">
        <v>859</v>
      </c>
      <c r="G174" s="8" t="s">
        <v>103</v>
      </c>
      <c r="J174" s="8" t="s">
        <v>757</v>
      </c>
    </row>
    <row r="175" spans="4:10" x14ac:dyDescent="0.3">
      <c r="D175" s="8" t="s">
        <v>180</v>
      </c>
      <c r="E175" s="8" t="s">
        <v>859</v>
      </c>
      <c r="F175" s="8" t="s">
        <v>859</v>
      </c>
      <c r="G175" s="8" t="s">
        <v>103</v>
      </c>
      <c r="J175" s="8" t="s">
        <v>758</v>
      </c>
    </row>
    <row r="176" spans="4:10" x14ac:dyDescent="0.3">
      <c r="D176" s="8" t="s">
        <v>247</v>
      </c>
      <c r="E176" s="8" t="s">
        <v>859</v>
      </c>
      <c r="F176" s="8" t="s">
        <v>859</v>
      </c>
      <c r="G176" s="8" t="s">
        <v>103</v>
      </c>
      <c r="J176" s="8" t="s">
        <v>759</v>
      </c>
    </row>
    <row r="177" spans="4:10" x14ac:dyDescent="0.3">
      <c r="D177" s="8" t="s">
        <v>251</v>
      </c>
      <c r="E177" s="8" t="s">
        <v>859</v>
      </c>
      <c r="F177" s="8" t="s">
        <v>859</v>
      </c>
      <c r="G177" s="8" t="s">
        <v>103</v>
      </c>
      <c r="J177" s="8" t="s">
        <v>760</v>
      </c>
    </row>
    <row r="178" spans="4:10" x14ac:dyDescent="0.3">
      <c r="D178" s="8" t="s">
        <v>269</v>
      </c>
      <c r="E178" s="8" t="s">
        <v>859</v>
      </c>
      <c r="F178" s="8" t="s">
        <v>859</v>
      </c>
      <c r="G178" s="8" t="s">
        <v>103</v>
      </c>
      <c r="J178" s="8" t="s">
        <v>761</v>
      </c>
    </row>
    <row r="179" spans="4:10" x14ac:dyDescent="0.3">
      <c r="D179" s="8" t="s">
        <v>626</v>
      </c>
      <c r="E179" s="8" t="s">
        <v>859</v>
      </c>
      <c r="F179" s="8" t="s">
        <v>859</v>
      </c>
      <c r="G179" s="8" t="s">
        <v>103</v>
      </c>
      <c r="J179" s="8" t="s">
        <v>762</v>
      </c>
    </row>
    <row r="180" spans="4:10" x14ac:dyDescent="0.3">
      <c r="D180" s="8" t="s">
        <v>127</v>
      </c>
      <c r="E180" s="8" t="s">
        <v>859</v>
      </c>
      <c r="F180" s="8" t="s">
        <v>859</v>
      </c>
      <c r="G180" s="8" t="s">
        <v>103</v>
      </c>
      <c r="J180" s="8" t="s">
        <v>763</v>
      </c>
    </row>
    <row r="181" spans="4:10" x14ac:dyDescent="0.3">
      <c r="D181" s="8" t="s">
        <v>279</v>
      </c>
      <c r="E181" s="8" t="s">
        <v>859</v>
      </c>
      <c r="F181" s="8" t="s">
        <v>859</v>
      </c>
      <c r="G181" s="8" t="s">
        <v>103</v>
      </c>
      <c r="J181" s="8" t="s">
        <v>764</v>
      </c>
    </row>
    <row r="182" spans="4:10" x14ac:dyDescent="0.3">
      <c r="D182" s="8" t="s">
        <v>281</v>
      </c>
      <c r="E182" s="8" t="s">
        <v>859</v>
      </c>
      <c r="F182" s="8" t="s">
        <v>859</v>
      </c>
      <c r="G182" s="8" t="s">
        <v>103</v>
      </c>
      <c r="J182" s="8" t="s">
        <v>765</v>
      </c>
    </row>
    <row r="183" spans="4:10" x14ac:dyDescent="0.3">
      <c r="D183" s="8" t="s">
        <v>290</v>
      </c>
      <c r="E183" s="8" t="s">
        <v>859</v>
      </c>
      <c r="F183" s="8" t="s">
        <v>859</v>
      </c>
      <c r="G183" s="8" t="s">
        <v>103</v>
      </c>
      <c r="J183" s="8" t="s">
        <v>766</v>
      </c>
    </row>
    <row r="184" spans="4:10" x14ac:dyDescent="0.3">
      <c r="D184" s="8" t="s">
        <v>296</v>
      </c>
      <c r="E184" s="8" t="s">
        <v>859</v>
      </c>
      <c r="F184" s="8" t="s">
        <v>859</v>
      </c>
      <c r="G184" s="8" t="s">
        <v>103</v>
      </c>
      <c r="J184" s="8" t="s">
        <v>767</v>
      </c>
    </row>
    <row r="185" spans="4:10" x14ac:dyDescent="0.3">
      <c r="D185" s="8" t="s">
        <v>322</v>
      </c>
      <c r="E185" s="8" t="s">
        <v>859</v>
      </c>
      <c r="F185" s="8" t="s">
        <v>859</v>
      </c>
      <c r="G185" s="8" t="s">
        <v>103</v>
      </c>
      <c r="J185" s="8" t="s">
        <v>768</v>
      </c>
    </row>
    <row r="186" spans="4:10" x14ac:dyDescent="0.3">
      <c r="D186" s="8" t="s">
        <v>332</v>
      </c>
      <c r="E186" s="8" t="s">
        <v>859</v>
      </c>
      <c r="F186" s="8" t="s">
        <v>859</v>
      </c>
      <c r="G186" s="8" t="s">
        <v>103</v>
      </c>
      <c r="J186" s="8" t="s">
        <v>769</v>
      </c>
    </row>
    <row r="187" spans="4:10" x14ac:dyDescent="0.3">
      <c r="D187" s="8" t="s">
        <v>338</v>
      </c>
      <c r="E187" s="8" t="s">
        <v>859</v>
      </c>
      <c r="F187" s="8" t="s">
        <v>859</v>
      </c>
      <c r="G187" s="8" t="s">
        <v>103</v>
      </c>
      <c r="J187" s="8" t="s">
        <v>770</v>
      </c>
    </row>
    <row r="188" spans="4:10" x14ac:dyDescent="0.3">
      <c r="D188" s="8" t="s">
        <v>378</v>
      </c>
      <c r="E188" s="8" t="s">
        <v>859</v>
      </c>
      <c r="F188" s="8" t="s">
        <v>859</v>
      </c>
      <c r="G188" s="8" t="s">
        <v>103</v>
      </c>
      <c r="J188" s="8" t="s">
        <v>771</v>
      </c>
    </row>
    <row r="189" spans="4:10" x14ac:dyDescent="0.3">
      <c r="D189" s="8" t="s">
        <v>394</v>
      </c>
      <c r="E189" s="8" t="s">
        <v>859</v>
      </c>
      <c r="F189" s="8" t="s">
        <v>859</v>
      </c>
      <c r="G189" s="8" t="s">
        <v>103</v>
      </c>
      <c r="J189" s="8" t="s">
        <v>772</v>
      </c>
    </row>
    <row r="190" spans="4:10" x14ac:dyDescent="0.3">
      <c r="D190" s="8" t="s">
        <v>422</v>
      </c>
      <c r="E190" s="8" t="s">
        <v>859</v>
      </c>
      <c r="F190" s="8" t="s">
        <v>859</v>
      </c>
      <c r="G190" s="8" t="s">
        <v>103</v>
      </c>
      <c r="J190" s="8" t="s">
        <v>773</v>
      </c>
    </row>
    <row r="191" spans="4:10" x14ac:dyDescent="0.3">
      <c r="D191" s="8" t="s">
        <v>134</v>
      </c>
      <c r="E191" s="8" t="s">
        <v>859</v>
      </c>
      <c r="F191" s="8" t="s">
        <v>859</v>
      </c>
      <c r="G191" s="8" t="s">
        <v>103</v>
      </c>
      <c r="J191" s="8" t="s">
        <v>774</v>
      </c>
    </row>
    <row r="192" spans="4:10" x14ac:dyDescent="0.3">
      <c r="D192" s="8" t="s">
        <v>456</v>
      </c>
      <c r="E192" s="8" t="s">
        <v>859</v>
      </c>
      <c r="F192" s="8" t="s">
        <v>859</v>
      </c>
      <c r="G192" s="8" t="s">
        <v>103</v>
      </c>
      <c r="J192" s="8" t="s">
        <v>775</v>
      </c>
    </row>
    <row r="193" spans="4:10" x14ac:dyDescent="0.3">
      <c r="D193" s="8" t="s">
        <v>510</v>
      </c>
      <c r="E193" s="8" t="s">
        <v>859</v>
      </c>
      <c r="F193" s="8" t="s">
        <v>859</v>
      </c>
      <c r="G193" s="8" t="s">
        <v>103</v>
      </c>
      <c r="J193" s="8" t="s">
        <v>776</v>
      </c>
    </row>
    <row r="194" spans="4:10" x14ac:dyDescent="0.3">
      <c r="D194" s="8" t="s">
        <v>135</v>
      </c>
      <c r="E194" s="8" t="s">
        <v>859</v>
      </c>
      <c r="F194" s="8" t="s">
        <v>859</v>
      </c>
      <c r="G194" s="8" t="s">
        <v>103</v>
      </c>
      <c r="J194" s="8" t="s">
        <v>777</v>
      </c>
    </row>
    <row r="195" spans="4:10" x14ac:dyDescent="0.3">
      <c r="D195" s="8" t="s">
        <v>133</v>
      </c>
      <c r="E195" s="8" t="s">
        <v>859</v>
      </c>
      <c r="F195" s="8" t="s">
        <v>859</v>
      </c>
      <c r="G195" s="8" t="s">
        <v>103</v>
      </c>
      <c r="J195" s="8" t="s">
        <v>778</v>
      </c>
    </row>
    <row r="196" spans="4:10" x14ac:dyDescent="0.3">
      <c r="D196" s="8" t="s">
        <v>128</v>
      </c>
      <c r="E196" s="8" t="s">
        <v>859</v>
      </c>
      <c r="F196" s="8" t="s">
        <v>859</v>
      </c>
      <c r="G196" s="8" t="s">
        <v>103</v>
      </c>
      <c r="J196" s="8" t="s">
        <v>779</v>
      </c>
    </row>
    <row r="197" spans="4:10" x14ac:dyDescent="0.3">
      <c r="D197" s="8" t="s">
        <v>161</v>
      </c>
      <c r="E197" s="8" t="s">
        <v>859</v>
      </c>
      <c r="F197" s="8" t="s">
        <v>859</v>
      </c>
      <c r="G197" s="8" t="s">
        <v>103</v>
      </c>
      <c r="J197" s="8" t="s">
        <v>780</v>
      </c>
    </row>
    <row r="198" spans="4:10" x14ac:dyDescent="0.3">
      <c r="D198" s="8" t="s">
        <v>178</v>
      </c>
      <c r="E198" s="8" t="s">
        <v>859</v>
      </c>
      <c r="F198" s="8" t="s">
        <v>859</v>
      </c>
      <c r="G198" s="8" t="s">
        <v>103</v>
      </c>
      <c r="J198" s="8" t="s">
        <v>781</v>
      </c>
    </row>
    <row r="199" spans="4:10" x14ac:dyDescent="0.3">
      <c r="D199" s="8" t="s">
        <v>782</v>
      </c>
      <c r="E199" s="8" t="s">
        <v>859</v>
      </c>
      <c r="F199" s="8" t="s">
        <v>859</v>
      </c>
      <c r="G199" s="8" t="s">
        <v>103</v>
      </c>
      <c r="J199" s="8" t="s">
        <v>783</v>
      </c>
    </row>
    <row r="200" spans="4:10" x14ac:dyDescent="0.3">
      <c r="D200" s="8" t="s">
        <v>202</v>
      </c>
      <c r="E200" s="8" t="s">
        <v>859</v>
      </c>
      <c r="F200" s="8" t="s">
        <v>859</v>
      </c>
      <c r="G200" s="8" t="s">
        <v>103</v>
      </c>
      <c r="J200" s="8" t="s">
        <v>784</v>
      </c>
    </row>
    <row r="201" spans="4:10" x14ac:dyDescent="0.3">
      <c r="D201" s="8" t="s">
        <v>241</v>
      </c>
      <c r="E201" s="8" t="s">
        <v>859</v>
      </c>
      <c r="F201" s="8" t="s">
        <v>859</v>
      </c>
      <c r="G201" s="8" t="s">
        <v>103</v>
      </c>
      <c r="J201" s="8" t="s">
        <v>785</v>
      </c>
    </row>
    <row r="202" spans="4:10" x14ac:dyDescent="0.3">
      <c r="D202" s="8" t="s">
        <v>249</v>
      </c>
      <c r="E202" s="8" t="s">
        <v>859</v>
      </c>
      <c r="F202" s="8" t="s">
        <v>859</v>
      </c>
      <c r="G202" s="8" t="s">
        <v>103</v>
      </c>
      <c r="J202" s="8" t="s">
        <v>786</v>
      </c>
    </row>
    <row r="203" spans="4:10" x14ac:dyDescent="0.3">
      <c r="D203" s="8" t="s">
        <v>269</v>
      </c>
      <c r="E203" s="8" t="s">
        <v>859</v>
      </c>
      <c r="F203" s="8" t="s">
        <v>859</v>
      </c>
      <c r="G203" s="8" t="s">
        <v>103</v>
      </c>
      <c r="J203" s="8" t="s">
        <v>761</v>
      </c>
    </row>
    <row r="204" spans="4:10" x14ac:dyDescent="0.3">
      <c r="D204" s="8" t="s">
        <v>18</v>
      </c>
      <c r="E204" s="8" t="s">
        <v>859</v>
      </c>
      <c r="F204" s="8" t="s">
        <v>859</v>
      </c>
      <c r="G204" s="8" t="s">
        <v>103</v>
      </c>
      <c r="J204" s="8" t="s">
        <v>787</v>
      </c>
    </row>
    <row r="205" spans="4:10" x14ac:dyDescent="0.3">
      <c r="D205" s="8" t="s">
        <v>320</v>
      </c>
      <c r="E205" s="8" t="s">
        <v>859</v>
      </c>
      <c r="F205" s="8" t="s">
        <v>859</v>
      </c>
      <c r="G205" s="8" t="s">
        <v>103</v>
      </c>
      <c r="J205" s="8" t="s">
        <v>788</v>
      </c>
    </row>
    <row r="206" spans="4:10" x14ac:dyDescent="0.3">
      <c r="D206" s="8" t="s">
        <v>364</v>
      </c>
      <c r="E206" s="8" t="s">
        <v>859</v>
      </c>
      <c r="F206" s="8" t="s">
        <v>859</v>
      </c>
      <c r="G206" s="8" t="s">
        <v>103</v>
      </c>
      <c r="J206" s="8" t="s">
        <v>789</v>
      </c>
    </row>
    <row r="207" spans="4:10" x14ac:dyDescent="0.3">
      <c r="D207" s="8" t="s">
        <v>376</v>
      </c>
      <c r="E207" s="8" t="s">
        <v>859</v>
      </c>
      <c r="F207" s="8" t="s">
        <v>859</v>
      </c>
      <c r="G207" s="8" t="s">
        <v>103</v>
      </c>
      <c r="J207" s="8" t="s">
        <v>790</v>
      </c>
    </row>
    <row r="208" spans="4:10" x14ac:dyDescent="0.3">
      <c r="D208" s="8" t="s">
        <v>406</v>
      </c>
      <c r="E208" s="8" t="s">
        <v>859</v>
      </c>
      <c r="F208" s="8" t="s">
        <v>859</v>
      </c>
      <c r="G208" s="8" t="s">
        <v>103</v>
      </c>
      <c r="J208" s="8" t="s">
        <v>791</v>
      </c>
    </row>
    <row r="209" spans="4:10" x14ac:dyDescent="0.3">
      <c r="D209" s="8" t="s">
        <v>454</v>
      </c>
      <c r="E209" s="8" t="s">
        <v>859</v>
      </c>
      <c r="F209" s="8" t="s">
        <v>859</v>
      </c>
      <c r="G209" s="8" t="s">
        <v>103</v>
      </c>
      <c r="J209" s="8" t="s">
        <v>792</v>
      </c>
    </row>
    <row r="210" spans="4:10" x14ac:dyDescent="0.3">
      <c r="D210" s="8" t="s">
        <v>462</v>
      </c>
      <c r="E210" s="8" t="s">
        <v>859</v>
      </c>
      <c r="F210" s="8" t="s">
        <v>859</v>
      </c>
      <c r="G210" s="8" t="s">
        <v>103</v>
      </c>
      <c r="J210" s="8" t="s">
        <v>793</v>
      </c>
    </row>
    <row r="211" spans="4:10" x14ac:dyDescent="0.3">
      <c r="D211" s="8" t="s">
        <v>464</v>
      </c>
      <c r="E211" s="8" t="s">
        <v>859</v>
      </c>
      <c r="F211" s="8" t="s">
        <v>859</v>
      </c>
      <c r="G211" s="8" t="s">
        <v>103</v>
      </c>
      <c r="J211" s="8" t="s">
        <v>794</v>
      </c>
    </row>
    <row r="212" spans="4:10" x14ac:dyDescent="0.3">
      <c r="D212" s="8" t="s">
        <v>488</v>
      </c>
      <c r="E212" s="8" t="s">
        <v>859</v>
      </c>
      <c r="F212" s="8" t="s">
        <v>859</v>
      </c>
      <c r="G212" s="8" t="s">
        <v>103</v>
      </c>
      <c r="J212" s="8" t="s">
        <v>795</v>
      </c>
    </row>
    <row r="213" spans="4:10" x14ac:dyDescent="0.3">
      <c r="D213" s="8" t="s">
        <v>498</v>
      </c>
      <c r="E213" s="8" t="s">
        <v>859</v>
      </c>
      <c r="F213" s="8" t="s">
        <v>859</v>
      </c>
      <c r="G213" s="8" t="s">
        <v>103</v>
      </c>
      <c r="J213" s="8" t="s">
        <v>796</v>
      </c>
    </row>
    <row r="214" spans="4:10" x14ac:dyDescent="0.3">
      <c r="D214" s="8" t="s">
        <v>500</v>
      </c>
      <c r="E214" s="8" t="s">
        <v>859</v>
      </c>
      <c r="F214" s="8" t="s">
        <v>859</v>
      </c>
      <c r="G214" s="8" t="s">
        <v>103</v>
      </c>
      <c r="J214" s="8" t="s">
        <v>797</v>
      </c>
    </row>
    <row r="215" spans="4:10" x14ac:dyDescent="0.3">
      <c r="D215" s="8" t="s">
        <v>542</v>
      </c>
      <c r="E215" s="8" t="s">
        <v>859</v>
      </c>
      <c r="F215" s="8" t="s">
        <v>859</v>
      </c>
      <c r="G215" s="8" t="s">
        <v>103</v>
      </c>
      <c r="J215" s="8" t="s">
        <v>798</v>
      </c>
    </row>
    <row r="216" spans="4:10" x14ac:dyDescent="0.3">
      <c r="D216" s="8" t="s">
        <v>550</v>
      </c>
      <c r="E216" s="8" t="s">
        <v>859</v>
      </c>
      <c r="F216" s="8" t="s">
        <v>859</v>
      </c>
      <c r="G216" s="8" t="s">
        <v>103</v>
      </c>
      <c r="J216" s="8" t="s">
        <v>799</v>
      </c>
    </row>
    <row r="217" spans="4:10" x14ac:dyDescent="0.3">
      <c r="D217" s="8" t="s">
        <v>800</v>
      </c>
      <c r="E217" s="8" t="s">
        <v>859</v>
      </c>
      <c r="F217" s="8" t="s">
        <v>859</v>
      </c>
      <c r="G217" s="8" t="s">
        <v>103</v>
      </c>
      <c r="J217" s="8" t="s">
        <v>801</v>
      </c>
    </row>
    <row r="218" spans="4:10" x14ac:dyDescent="0.3">
      <c r="D218" s="8" t="s">
        <v>147</v>
      </c>
      <c r="E218" s="8" t="s">
        <v>859</v>
      </c>
      <c r="F218" s="8" t="s">
        <v>859</v>
      </c>
      <c r="G218" s="8" t="s">
        <v>103</v>
      </c>
      <c r="J218" s="8" t="s">
        <v>802</v>
      </c>
    </row>
    <row r="219" spans="4:10" x14ac:dyDescent="0.3">
      <c r="D219" s="8" t="s">
        <v>153</v>
      </c>
      <c r="E219" s="8" t="s">
        <v>859</v>
      </c>
      <c r="F219" s="8" t="s">
        <v>859</v>
      </c>
      <c r="G219" s="8" t="s">
        <v>103</v>
      </c>
      <c r="J219" s="8" t="s">
        <v>803</v>
      </c>
    </row>
    <row r="220" spans="4:10" x14ac:dyDescent="0.3">
      <c r="D220" s="8" t="s">
        <v>172</v>
      </c>
      <c r="E220" s="8" t="s">
        <v>859</v>
      </c>
      <c r="F220" s="8" t="s">
        <v>859</v>
      </c>
      <c r="G220" s="8" t="s">
        <v>103</v>
      </c>
      <c r="J220" s="8" t="s">
        <v>804</v>
      </c>
    </row>
    <row r="221" spans="4:10" x14ac:dyDescent="0.3">
      <c r="D221" s="8" t="s">
        <v>194</v>
      </c>
      <c r="E221" s="8" t="s">
        <v>859</v>
      </c>
      <c r="F221" s="8" t="s">
        <v>859</v>
      </c>
      <c r="G221" s="8" t="s">
        <v>103</v>
      </c>
      <c r="J221" s="8" t="s">
        <v>805</v>
      </c>
    </row>
    <row r="222" spans="4:10" x14ac:dyDescent="0.3">
      <c r="D222" s="8" t="s">
        <v>261</v>
      </c>
      <c r="E222" s="8" t="s">
        <v>859</v>
      </c>
      <c r="F222" s="8" t="s">
        <v>859</v>
      </c>
      <c r="G222" s="8" t="s">
        <v>103</v>
      </c>
      <c r="J222" s="8" t="s">
        <v>806</v>
      </c>
    </row>
    <row r="223" spans="4:10" x14ac:dyDescent="0.3">
      <c r="D223" s="8" t="s">
        <v>292</v>
      </c>
      <c r="E223" s="8" t="s">
        <v>859</v>
      </c>
      <c r="F223" s="8" t="s">
        <v>859</v>
      </c>
      <c r="G223" s="8" t="s">
        <v>103</v>
      </c>
      <c r="J223" s="8" t="s">
        <v>807</v>
      </c>
    </row>
    <row r="224" spans="4:10" x14ac:dyDescent="0.3">
      <c r="D224" s="8" t="s">
        <v>328</v>
      </c>
      <c r="E224" s="8" t="s">
        <v>859</v>
      </c>
      <c r="F224" s="8" t="s">
        <v>859</v>
      </c>
      <c r="G224" s="8" t="s">
        <v>103</v>
      </c>
      <c r="J224" s="8" t="s">
        <v>808</v>
      </c>
    </row>
    <row r="225" spans="4:10" x14ac:dyDescent="0.3">
      <c r="D225" s="8" t="s">
        <v>330</v>
      </c>
      <c r="E225" s="8" t="s">
        <v>859</v>
      </c>
      <c r="F225" s="8" t="s">
        <v>859</v>
      </c>
      <c r="G225" s="8" t="s">
        <v>103</v>
      </c>
      <c r="J225" s="8" t="s">
        <v>809</v>
      </c>
    </row>
    <row r="226" spans="4:10" x14ac:dyDescent="0.3">
      <c r="D226" s="8" t="s">
        <v>336</v>
      </c>
      <c r="E226" s="8" t="s">
        <v>859</v>
      </c>
      <c r="F226" s="8" t="s">
        <v>859</v>
      </c>
      <c r="G226" s="8" t="s">
        <v>103</v>
      </c>
      <c r="J226" s="8" t="s">
        <v>810</v>
      </c>
    </row>
    <row r="227" spans="4:10" x14ac:dyDescent="0.3">
      <c r="D227" s="8" t="s">
        <v>345</v>
      </c>
      <c r="E227" s="8" t="s">
        <v>859</v>
      </c>
      <c r="F227" s="8" t="s">
        <v>859</v>
      </c>
      <c r="G227" s="8" t="s">
        <v>103</v>
      </c>
      <c r="J227" s="8" t="s">
        <v>811</v>
      </c>
    </row>
    <row r="228" spans="4:10" x14ac:dyDescent="0.3">
      <c r="D228" s="8" t="s">
        <v>349</v>
      </c>
      <c r="E228" s="8" t="s">
        <v>859</v>
      </c>
      <c r="F228" s="8" t="s">
        <v>859</v>
      </c>
      <c r="G228" s="8" t="s">
        <v>103</v>
      </c>
      <c r="J228" s="8" t="s">
        <v>812</v>
      </c>
    </row>
    <row r="229" spans="4:10" x14ac:dyDescent="0.3">
      <c r="D229" s="8" t="s">
        <v>358</v>
      </c>
      <c r="E229" s="8" t="s">
        <v>859</v>
      </c>
      <c r="F229" s="8" t="s">
        <v>859</v>
      </c>
      <c r="G229" s="8" t="s">
        <v>103</v>
      </c>
      <c r="J229" s="8" t="s">
        <v>813</v>
      </c>
    </row>
    <row r="230" spans="4:10" x14ac:dyDescent="0.3">
      <c r="D230" s="8" t="s">
        <v>366</v>
      </c>
      <c r="E230" s="8" t="s">
        <v>859</v>
      </c>
      <c r="F230" s="8" t="s">
        <v>859</v>
      </c>
      <c r="G230" s="8" t="s">
        <v>103</v>
      </c>
      <c r="J230" s="8" t="s">
        <v>814</v>
      </c>
    </row>
    <row r="231" spans="4:10" x14ac:dyDescent="0.3">
      <c r="D231" s="8" t="s">
        <v>414</v>
      </c>
      <c r="E231" s="8" t="s">
        <v>859</v>
      </c>
      <c r="F231" s="8" t="s">
        <v>859</v>
      </c>
      <c r="G231" s="8" t="s">
        <v>103</v>
      </c>
      <c r="J231" s="8" t="s">
        <v>815</v>
      </c>
    </row>
    <row r="232" spans="4:10" x14ac:dyDescent="0.3">
      <c r="D232" s="8" t="s">
        <v>418</v>
      </c>
      <c r="E232" s="8" t="s">
        <v>859</v>
      </c>
      <c r="F232" s="8" t="s">
        <v>859</v>
      </c>
      <c r="G232" s="8" t="s">
        <v>103</v>
      </c>
      <c r="J232" s="8" t="s">
        <v>816</v>
      </c>
    </row>
    <row r="233" spans="4:10" x14ac:dyDescent="0.3">
      <c r="D233" s="8" t="s">
        <v>429</v>
      </c>
      <c r="E233" s="8" t="s">
        <v>859</v>
      </c>
      <c r="F233" s="8" t="s">
        <v>859</v>
      </c>
      <c r="G233" s="8" t="s">
        <v>103</v>
      </c>
      <c r="J233" s="8" t="s">
        <v>817</v>
      </c>
    </row>
    <row r="234" spans="4:10" x14ac:dyDescent="0.3">
      <c r="D234" s="8" t="s">
        <v>438</v>
      </c>
      <c r="E234" s="8" t="s">
        <v>859</v>
      </c>
      <c r="F234" s="8" t="s">
        <v>859</v>
      </c>
      <c r="G234" s="8" t="s">
        <v>103</v>
      </c>
      <c r="J234" s="8" t="s">
        <v>818</v>
      </c>
    </row>
    <row r="235" spans="4:10" x14ac:dyDescent="0.3">
      <c r="D235" s="8" t="s">
        <v>460</v>
      </c>
      <c r="E235" s="8" t="s">
        <v>859</v>
      </c>
      <c r="F235" s="8" t="s">
        <v>859</v>
      </c>
      <c r="G235" s="8" t="s">
        <v>103</v>
      </c>
      <c r="J235" s="8" t="s">
        <v>819</v>
      </c>
    </row>
    <row r="236" spans="4:10" x14ac:dyDescent="0.3">
      <c r="D236" s="8" t="s">
        <v>484</v>
      </c>
      <c r="E236" s="8" t="s">
        <v>859</v>
      </c>
      <c r="F236" s="8" t="s">
        <v>859</v>
      </c>
      <c r="G236" s="8" t="s">
        <v>103</v>
      </c>
      <c r="J236" s="8" t="s">
        <v>820</v>
      </c>
    </row>
    <row r="237" spans="4:10" x14ac:dyDescent="0.3">
      <c r="D237" s="8" t="s">
        <v>486</v>
      </c>
      <c r="E237" s="8" t="s">
        <v>859</v>
      </c>
      <c r="F237" s="8" t="s">
        <v>859</v>
      </c>
      <c r="G237" s="8" t="s">
        <v>103</v>
      </c>
      <c r="J237" s="8" t="s">
        <v>821</v>
      </c>
    </row>
    <row r="238" spans="4:10" x14ac:dyDescent="0.3">
      <c r="D238" s="8" t="s">
        <v>506</v>
      </c>
      <c r="E238" s="8" t="s">
        <v>859</v>
      </c>
      <c r="F238" s="8" t="s">
        <v>859</v>
      </c>
      <c r="G238" s="8" t="s">
        <v>103</v>
      </c>
      <c r="J238" s="8" t="s">
        <v>822</v>
      </c>
    </row>
    <row r="239" spans="4:10" x14ac:dyDescent="0.3">
      <c r="D239" s="8" t="s">
        <v>540</v>
      </c>
      <c r="E239" s="8" t="s">
        <v>859</v>
      </c>
      <c r="F239" s="8" t="s">
        <v>859</v>
      </c>
      <c r="G239" s="8" t="s">
        <v>103</v>
      </c>
      <c r="J239" s="8" t="s">
        <v>823</v>
      </c>
    </row>
    <row r="240" spans="4:10" x14ac:dyDescent="0.3">
      <c r="D240" s="8" t="s">
        <v>552</v>
      </c>
      <c r="E240" s="8" t="s">
        <v>859</v>
      </c>
      <c r="F240" s="8" t="s">
        <v>859</v>
      </c>
      <c r="G240" s="8" t="s">
        <v>103</v>
      </c>
      <c r="J240" s="8" t="s">
        <v>824</v>
      </c>
    </row>
    <row r="241" spans="4:10" x14ac:dyDescent="0.3">
      <c r="D241" s="8" t="s">
        <v>548</v>
      </c>
      <c r="E241" s="8" t="s">
        <v>859</v>
      </c>
      <c r="F241" s="8" t="s">
        <v>859</v>
      </c>
      <c r="G241" s="8" t="s">
        <v>103</v>
      </c>
      <c r="J241" s="8" t="s">
        <v>825</v>
      </c>
    </row>
    <row r="242" spans="4:10" x14ac:dyDescent="0.3">
      <c r="D242" s="8" t="s">
        <v>569</v>
      </c>
      <c r="E242" s="8" t="s">
        <v>859</v>
      </c>
      <c r="F242" s="8" t="s">
        <v>859</v>
      </c>
      <c r="G242" s="8" t="s">
        <v>103</v>
      </c>
      <c r="J242" s="8" t="s">
        <v>826</v>
      </c>
    </row>
    <row r="243" spans="4:10" x14ac:dyDescent="0.3">
      <c r="D243" s="8" t="s">
        <v>571</v>
      </c>
      <c r="E243" s="8" t="s">
        <v>859</v>
      </c>
      <c r="F243" s="8" t="s">
        <v>859</v>
      </c>
      <c r="G243" s="8" t="s">
        <v>103</v>
      </c>
      <c r="J243" s="8" t="s">
        <v>827</v>
      </c>
    </row>
    <row r="244" spans="4:10" x14ac:dyDescent="0.3">
      <c r="D244" s="8" t="s">
        <v>573</v>
      </c>
      <c r="E244" s="8" t="s">
        <v>859</v>
      </c>
      <c r="F244" s="8" t="s">
        <v>859</v>
      </c>
      <c r="G244" s="8" t="s">
        <v>103</v>
      </c>
      <c r="J244" s="8" t="s">
        <v>828</v>
      </c>
    </row>
    <row r="245" spans="4:10" x14ac:dyDescent="0.3">
      <c r="D245" s="8" t="s">
        <v>129</v>
      </c>
      <c r="E245" s="8" t="s">
        <v>859</v>
      </c>
      <c r="F245" s="8" t="s">
        <v>859</v>
      </c>
      <c r="G245" s="8" t="s">
        <v>103</v>
      </c>
      <c r="J245" s="8" t="s">
        <v>829</v>
      </c>
    </row>
    <row r="246" spans="4:10" x14ac:dyDescent="0.3">
      <c r="D246" s="8" t="s">
        <v>168</v>
      </c>
      <c r="E246" s="8" t="s">
        <v>859</v>
      </c>
      <c r="F246" s="8" t="s">
        <v>859</v>
      </c>
      <c r="G246" s="8" t="s">
        <v>103</v>
      </c>
      <c r="J246" s="8" t="s">
        <v>830</v>
      </c>
    </row>
    <row r="247" spans="4:10" x14ac:dyDescent="0.3">
      <c r="D247" s="8" t="s">
        <v>174</v>
      </c>
      <c r="E247" s="8" t="s">
        <v>859</v>
      </c>
      <c r="F247" s="8" t="s">
        <v>859</v>
      </c>
      <c r="G247" s="8" t="s">
        <v>103</v>
      </c>
      <c r="J247" s="8" t="s">
        <v>831</v>
      </c>
    </row>
    <row r="248" spans="4:10" x14ac:dyDescent="0.3">
      <c r="D248" s="8" t="s">
        <v>212</v>
      </c>
      <c r="E248" s="8" t="s">
        <v>859</v>
      </c>
      <c r="F248" s="8" t="s">
        <v>859</v>
      </c>
      <c r="G248" s="8" t="s">
        <v>103</v>
      </c>
      <c r="J248" s="8" t="s">
        <v>832</v>
      </c>
    </row>
    <row r="249" spans="4:10" x14ac:dyDescent="0.3">
      <c r="D249" s="8" t="s">
        <v>225</v>
      </c>
      <c r="E249" s="8" t="s">
        <v>859</v>
      </c>
      <c r="F249" s="8" t="s">
        <v>859</v>
      </c>
      <c r="G249" s="8" t="s">
        <v>103</v>
      </c>
      <c r="J249" s="8" t="s">
        <v>833</v>
      </c>
    </row>
    <row r="250" spans="4:10" x14ac:dyDescent="0.3">
      <c r="D250" s="8" t="s">
        <v>277</v>
      </c>
      <c r="E250" s="8" t="s">
        <v>859</v>
      </c>
      <c r="F250" s="8" t="s">
        <v>859</v>
      </c>
      <c r="G250" s="8" t="s">
        <v>103</v>
      </c>
      <c r="J250" s="8" t="s">
        <v>834</v>
      </c>
    </row>
    <row r="251" spans="4:10" x14ac:dyDescent="0.3">
      <c r="D251" s="8" t="s">
        <v>318</v>
      </c>
      <c r="E251" s="8" t="s">
        <v>859</v>
      </c>
      <c r="F251" s="8" t="s">
        <v>859</v>
      </c>
      <c r="G251" s="8" t="s">
        <v>103</v>
      </c>
      <c r="J251" s="8" t="s">
        <v>835</v>
      </c>
    </row>
    <row r="252" spans="4:10" x14ac:dyDescent="0.3">
      <c r="D252" s="8" t="s">
        <v>324</v>
      </c>
      <c r="E252" s="8" t="s">
        <v>859</v>
      </c>
      <c r="F252" s="8" t="s">
        <v>859</v>
      </c>
      <c r="G252" s="8" t="s">
        <v>103</v>
      </c>
      <c r="J252" s="8" t="s">
        <v>836</v>
      </c>
    </row>
    <row r="253" spans="4:10" x14ac:dyDescent="0.3">
      <c r="D253" s="8" t="s">
        <v>326</v>
      </c>
      <c r="E253" s="8" t="s">
        <v>859</v>
      </c>
      <c r="F253" s="8" t="s">
        <v>859</v>
      </c>
      <c r="G253" s="8" t="s">
        <v>103</v>
      </c>
      <c r="J253" s="8" t="s">
        <v>837</v>
      </c>
    </row>
    <row r="254" spans="4:10" x14ac:dyDescent="0.3">
      <c r="D254" s="8" t="s">
        <v>136</v>
      </c>
      <c r="E254" s="8" t="s">
        <v>859</v>
      </c>
      <c r="F254" s="8" t="s">
        <v>859</v>
      </c>
      <c r="G254" s="8" t="s">
        <v>103</v>
      </c>
      <c r="J254" s="8" t="s">
        <v>838</v>
      </c>
    </row>
    <row r="255" spans="4:10" x14ac:dyDescent="0.3">
      <c r="D255" s="8" t="s">
        <v>347</v>
      </c>
      <c r="E255" s="8" t="s">
        <v>859</v>
      </c>
      <c r="F255" s="8" t="s">
        <v>859</v>
      </c>
      <c r="G255" s="8" t="s">
        <v>103</v>
      </c>
      <c r="J255" s="8" t="s">
        <v>839</v>
      </c>
    </row>
    <row r="256" spans="4:10" x14ac:dyDescent="0.3">
      <c r="D256" s="8" t="s">
        <v>360</v>
      </c>
      <c r="E256" s="8" t="s">
        <v>859</v>
      </c>
      <c r="F256" s="8" t="s">
        <v>859</v>
      </c>
      <c r="G256" s="8" t="s">
        <v>103</v>
      </c>
      <c r="J256" s="8" t="s">
        <v>840</v>
      </c>
    </row>
    <row r="257" spans="4:10" x14ac:dyDescent="0.3">
      <c r="D257" s="8" t="s">
        <v>380</v>
      </c>
      <c r="E257" s="8" t="s">
        <v>859</v>
      </c>
      <c r="F257" s="8" t="s">
        <v>859</v>
      </c>
      <c r="G257" s="8" t="s">
        <v>103</v>
      </c>
      <c r="J257" s="8" t="s">
        <v>841</v>
      </c>
    </row>
    <row r="258" spans="4:10" x14ac:dyDescent="0.3">
      <c r="D258" s="8" t="s">
        <v>388</v>
      </c>
      <c r="E258" s="8" t="s">
        <v>859</v>
      </c>
      <c r="F258" s="8" t="s">
        <v>859</v>
      </c>
      <c r="G258" s="8" t="s">
        <v>103</v>
      </c>
      <c r="J258" s="8" t="s">
        <v>842</v>
      </c>
    </row>
    <row r="259" spans="4:10" x14ac:dyDescent="0.3">
      <c r="D259" s="8" t="s">
        <v>390</v>
      </c>
      <c r="E259" s="8" t="s">
        <v>859</v>
      </c>
      <c r="F259" s="8" t="s">
        <v>859</v>
      </c>
      <c r="G259" s="8" t="s">
        <v>103</v>
      </c>
      <c r="J259" s="8" t="s">
        <v>843</v>
      </c>
    </row>
    <row r="260" spans="4:10" x14ac:dyDescent="0.3">
      <c r="D260" s="8" t="s">
        <v>410</v>
      </c>
      <c r="E260" s="8" t="s">
        <v>859</v>
      </c>
      <c r="F260" s="8" t="s">
        <v>859</v>
      </c>
      <c r="G260" s="8" t="s">
        <v>103</v>
      </c>
      <c r="J260" s="8" t="s">
        <v>844</v>
      </c>
    </row>
    <row r="261" spans="4:10" x14ac:dyDescent="0.3">
      <c r="D261" s="8" t="s">
        <v>845</v>
      </c>
      <c r="E261" s="8" t="s">
        <v>859</v>
      </c>
      <c r="F261" s="8" t="s">
        <v>859</v>
      </c>
      <c r="G261" s="8" t="s">
        <v>103</v>
      </c>
      <c r="J261" s="8" t="s">
        <v>846</v>
      </c>
    </row>
    <row r="262" spans="4:10" x14ac:dyDescent="0.3">
      <c r="D262" s="8" t="s">
        <v>440</v>
      </c>
      <c r="E262" s="8" t="s">
        <v>859</v>
      </c>
      <c r="F262" s="8" t="s">
        <v>859</v>
      </c>
      <c r="G262" s="8" t="s">
        <v>103</v>
      </c>
      <c r="J262" s="8" t="s">
        <v>847</v>
      </c>
    </row>
    <row r="263" spans="4:10" x14ac:dyDescent="0.3">
      <c r="D263" s="8" t="s">
        <v>420</v>
      </c>
      <c r="E263" s="8" t="s">
        <v>859</v>
      </c>
      <c r="F263" s="8" t="s">
        <v>859</v>
      </c>
      <c r="G263" s="8" t="s">
        <v>103</v>
      </c>
      <c r="J263" s="8" t="s">
        <v>848</v>
      </c>
    </row>
    <row r="264" spans="4:10" x14ac:dyDescent="0.3">
      <c r="D264" s="8" t="s">
        <v>130</v>
      </c>
      <c r="E264" s="8" t="s">
        <v>859</v>
      </c>
      <c r="F264" s="8" t="s">
        <v>859</v>
      </c>
      <c r="G264" s="8" t="s">
        <v>103</v>
      </c>
      <c r="J264" s="8" t="s">
        <v>849</v>
      </c>
    </row>
    <row r="265" spans="4:10" x14ac:dyDescent="0.3">
      <c r="D265" s="8" t="s">
        <v>440</v>
      </c>
      <c r="E265" s="8" t="s">
        <v>859</v>
      </c>
      <c r="F265" s="8" t="s">
        <v>859</v>
      </c>
      <c r="G265" s="8" t="s">
        <v>103</v>
      </c>
      <c r="J265" s="8" t="s">
        <v>847</v>
      </c>
    </row>
    <row r="266" spans="4:10" x14ac:dyDescent="0.3">
      <c r="D266" s="8" t="s">
        <v>452</v>
      </c>
      <c r="E266" s="8" t="s">
        <v>859</v>
      </c>
      <c r="F266" s="8" t="s">
        <v>859</v>
      </c>
      <c r="G266" s="8" t="s">
        <v>103</v>
      </c>
      <c r="J266" s="8" t="s">
        <v>850</v>
      </c>
    </row>
    <row r="267" spans="4:10" x14ac:dyDescent="0.3">
      <c r="D267" s="8" t="s">
        <v>494</v>
      </c>
      <c r="E267" s="8" t="s">
        <v>859</v>
      </c>
      <c r="F267" s="8" t="s">
        <v>859</v>
      </c>
      <c r="G267" s="8" t="s">
        <v>103</v>
      </c>
      <c r="J267" s="8" t="s">
        <v>851</v>
      </c>
    </row>
    <row r="268" spans="4:10" x14ac:dyDescent="0.3">
      <c r="D268" s="8" t="s">
        <v>611</v>
      </c>
      <c r="E268" s="8" t="s">
        <v>859</v>
      </c>
      <c r="F268" s="8" t="s">
        <v>859</v>
      </c>
      <c r="G268" s="8" t="s">
        <v>103</v>
      </c>
      <c r="J268" s="8" t="s">
        <v>852</v>
      </c>
    </row>
    <row r="269" spans="4:10" x14ac:dyDescent="0.3">
      <c r="D269" s="8" t="s">
        <v>512</v>
      </c>
      <c r="E269" s="8" t="s">
        <v>859</v>
      </c>
      <c r="F269" s="8" t="s">
        <v>859</v>
      </c>
      <c r="G269" s="8" t="s">
        <v>103</v>
      </c>
      <c r="J269" s="8" t="s">
        <v>853</v>
      </c>
    </row>
    <row r="270" spans="4:10" x14ac:dyDescent="0.3">
      <c r="D270" s="8" t="s">
        <v>524</v>
      </c>
      <c r="E270" s="8" t="s">
        <v>859</v>
      </c>
      <c r="F270" s="8" t="s">
        <v>859</v>
      </c>
      <c r="G270" s="8" t="s">
        <v>103</v>
      </c>
      <c r="J270" s="8" t="s">
        <v>854</v>
      </c>
    </row>
    <row r="271" spans="4:10" x14ac:dyDescent="0.3">
      <c r="D271" s="8" t="s">
        <v>526</v>
      </c>
      <c r="E271" s="8" t="s">
        <v>859</v>
      </c>
      <c r="F271" s="8" t="s">
        <v>859</v>
      </c>
      <c r="G271" s="8" t="s">
        <v>103</v>
      </c>
      <c r="J271" s="8" t="s">
        <v>855</v>
      </c>
    </row>
    <row r="272" spans="4:10" x14ac:dyDescent="0.3">
      <c r="D272" s="8" t="s">
        <v>530</v>
      </c>
      <c r="E272" s="8" t="s">
        <v>859</v>
      </c>
      <c r="F272" s="8" t="s">
        <v>859</v>
      </c>
      <c r="G272" s="8" t="s">
        <v>103</v>
      </c>
      <c r="J272" s="8" t="s">
        <v>856</v>
      </c>
    </row>
    <row r="273" spans="4:10" x14ac:dyDescent="0.3">
      <c r="D273" s="8" t="s">
        <v>532</v>
      </c>
      <c r="E273" s="8" t="s">
        <v>859</v>
      </c>
      <c r="F273" s="8" t="s">
        <v>859</v>
      </c>
      <c r="G273" s="8" t="s">
        <v>103</v>
      </c>
      <c r="J273" s="8" t="s">
        <v>857</v>
      </c>
    </row>
    <row r="274" spans="4:10" x14ac:dyDescent="0.3">
      <c r="D274" s="8" t="s">
        <v>564</v>
      </c>
      <c r="E274" s="8" t="s">
        <v>859</v>
      </c>
      <c r="F274" s="8" t="s">
        <v>859</v>
      </c>
      <c r="G274" s="8" t="s">
        <v>103</v>
      </c>
      <c r="J274" s="8" t="s">
        <v>858</v>
      </c>
    </row>
    <row r="275" spans="4:10" x14ac:dyDescent="0.3">
      <c r="D275" s="8" t="s">
        <v>196</v>
      </c>
      <c r="E275" s="8" t="s">
        <v>860</v>
      </c>
      <c r="F275" s="8" t="s">
        <v>860</v>
      </c>
      <c r="G275" s="8" t="s">
        <v>103</v>
      </c>
      <c r="J275" s="8" t="s">
        <v>861</v>
      </c>
    </row>
    <row r="276" spans="4:10" x14ac:dyDescent="0.3">
      <c r="D276" s="8" t="s">
        <v>132</v>
      </c>
      <c r="E276" s="8" t="s">
        <v>860</v>
      </c>
      <c r="F276" s="8" t="s">
        <v>860</v>
      </c>
      <c r="G276" s="8" t="s">
        <v>103</v>
      </c>
      <c r="J276" s="8" t="s">
        <v>862</v>
      </c>
    </row>
    <row r="277" spans="4:10" x14ac:dyDescent="0.3">
      <c r="D277" s="8" t="s">
        <v>402</v>
      </c>
      <c r="E277" s="8" t="s">
        <v>860</v>
      </c>
      <c r="F277" s="8" t="s">
        <v>860</v>
      </c>
      <c r="G277" s="8" t="s">
        <v>103</v>
      </c>
      <c r="J277" s="8" t="s">
        <v>863</v>
      </c>
    </row>
    <row r="278" spans="4:10" x14ac:dyDescent="0.3">
      <c r="D278" s="8" t="s">
        <v>131</v>
      </c>
      <c r="E278" s="8" t="s">
        <v>860</v>
      </c>
      <c r="F278" s="8" t="s">
        <v>860</v>
      </c>
      <c r="G278" s="8" t="s">
        <v>103</v>
      </c>
      <c r="J278" s="8" t="s">
        <v>864</v>
      </c>
    </row>
    <row r="279" spans="4:10" x14ac:dyDescent="0.3">
      <c r="D279" s="8" t="s">
        <v>166</v>
      </c>
      <c r="E279" s="8" t="s">
        <v>860</v>
      </c>
      <c r="F279" s="8" t="s">
        <v>860</v>
      </c>
      <c r="G279" s="8" t="s">
        <v>103</v>
      </c>
      <c r="J279" s="8" t="s">
        <v>865</v>
      </c>
    </row>
    <row r="280" spans="4:10" x14ac:dyDescent="0.3">
      <c r="D280" s="8" t="s">
        <v>249</v>
      </c>
      <c r="E280" s="8" t="s">
        <v>860</v>
      </c>
      <c r="F280" s="8" t="s">
        <v>860</v>
      </c>
      <c r="G280" s="8" t="s">
        <v>103</v>
      </c>
      <c r="J280" s="8" t="s">
        <v>866</v>
      </c>
    </row>
    <row r="281" spans="4:10" x14ac:dyDescent="0.3">
      <c r="D281" s="8" t="s">
        <v>281</v>
      </c>
      <c r="E281" s="8" t="s">
        <v>860</v>
      </c>
      <c r="F281" s="8" t="s">
        <v>860</v>
      </c>
      <c r="G281" s="8" t="s">
        <v>103</v>
      </c>
      <c r="J281" s="8" t="s">
        <v>867</v>
      </c>
    </row>
    <row r="282" spans="4:10" x14ac:dyDescent="0.3">
      <c r="D282" s="8" t="s">
        <v>290</v>
      </c>
      <c r="E282" s="8" t="s">
        <v>860</v>
      </c>
      <c r="F282" s="8" t="s">
        <v>860</v>
      </c>
      <c r="G282" s="8" t="s">
        <v>103</v>
      </c>
      <c r="J282" s="8" t="s">
        <v>868</v>
      </c>
    </row>
    <row r="283" spans="4:10" x14ac:dyDescent="0.3">
      <c r="D283" s="8" t="s">
        <v>296</v>
      </c>
      <c r="E283" s="8" t="s">
        <v>860</v>
      </c>
      <c r="F283" s="8" t="s">
        <v>860</v>
      </c>
      <c r="G283" s="8" t="s">
        <v>103</v>
      </c>
      <c r="J283" s="8" t="s">
        <v>869</v>
      </c>
    </row>
    <row r="284" spans="4:10" x14ac:dyDescent="0.3">
      <c r="D284" s="8" t="s">
        <v>332</v>
      </c>
      <c r="E284" s="8" t="s">
        <v>860</v>
      </c>
      <c r="F284" s="8" t="s">
        <v>860</v>
      </c>
      <c r="G284" s="8" t="s">
        <v>103</v>
      </c>
      <c r="J284" s="8" t="s">
        <v>870</v>
      </c>
    </row>
    <row r="285" spans="4:10" x14ac:dyDescent="0.3">
      <c r="D285" s="8" t="s">
        <v>338</v>
      </c>
      <c r="E285" s="8" t="s">
        <v>860</v>
      </c>
      <c r="F285" s="8" t="s">
        <v>860</v>
      </c>
      <c r="G285" s="8" t="s">
        <v>103</v>
      </c>
      <c r="J285" s="8" t="s">
        <v>871</v>
      </c>
    </row>
    <row r="286" spans="4:10" x14ac:dyDescent="0.3">
      <c r="D286" s="8" t="s">
        <v>422</v>
      </c>
      <c r="E286" s="8" t="s">
        <v>860</v>
      </c>
      <c r="F286" s="8" t="s">
        <v>860</v>
      </c>
      <c r="G286" s="8" t="s">
        <v>103</v>
      </c>
      <c r="J286" s="8" t="s">
        <v>872</v>
      </c>
    </row>
    <row r="287" spans="4:10" x14ac:dyDescent="0.3">
      <c r="D287" s="8" t="s">
        <v>454</v>
      </c>
      <c r="E287" s="8" t="s">
        <v>860</v>
      </c>
      <c r="F287" s="8" t="s">
        <v>860</v>
      </c>
      <c r="G287" s="8" t="s">
        <v>103</v>
      </c>
      <c r="J287" s="8" t="s">
        <v>873</v>
      </c>
    </row>
    <row r="288" spans="4:10" x14ac:dyDescent="0.3">
      <c r="D288" s="8" t="s">
        <v>464</v>
      </c>
      <c r="E288" s="8" t="s">
        <v>860</v>
      </c>
      <c r="F288" s="8" t="s">
        <v>860</v>
      </c>
      <c r="G288" s="8" t="s">
        <v>103</v>
      </c>
      <c r="J288" s="8" t="s">
        <v>874</v>
      </c>
    </row>
    <row r="289" spans="4:10" x14ac:dyDescent="0.3">
      <c r="D289" s="8" t="s">
        <v>510</v>
      </c>
      <c r="E289" s="8" t="s">
        <v>860</v>
      </c>
      <c r="F289" s="8" t="s">
        <v>860</v>
      </c>
      <c r="G289" s="8" t="s">
        <v>103</v>
      </c>
      <c r="J289" s="8" t="s">
        <v>875</v>
      </c>
    </row>
    <row r="290" spans="4:10" x14ac:dyDescent="0.3">
      <c r="D290" s="8" t="s">
        <v>542</v>
      </c>
      <c r="E290" s="8" t="s">
        <v>860</v>
      </c>
      <c r="F290" s="8" t="s">
        <v>860</v>
      </c>
      <c r="G290" s="8" t="s">
        <v>103</v>
      </c>
      <c r="J290" s="8" t="s">
        <v>876</v>
      </c>
    </row>
    <row r="291" spans="4:10" x14ac:dyDescent="0.3">
      <c r="D291" s="8" t="s">
        <v>128</v>
      </c>
      <c r="E291" s="8" t="s">
        <v>860</v>
      </c>
      <c r="F291" s="8" t="s">
        <v>860</v>
      </c>
      <c r="G291" s="8" t="s">
        <v>103</v>
      </c>
      <c r="J291" s="8" t="s">
        <v>877</v>
      </c>
    </row>
    <row r="292" spans="4:10" x14ac:dyDescent="0.3">
      <c r="D292" s="8" t="s">
        <v>225</v>
      </c>
      <c r="E292" s="8" t="s">
        <v>860</v>
      </c>
      <c r="F292" s="8" t="s">
        <v>860</v>
      </c>
      <c r="G292" s="8" t="s">
        <v>103</v>
      </c>
      <c r="J292" s="8" t="s">
        <v>878</v>
      </c>
    </row>
    <row r="293" spans="4:10" x14ac:dyDescent="0.3">
      <c r="D293" s="8" t="s">
        <v>324</v>
      </c>
      <c r="E293" s="8" t="s">
        <v>860</v>
      </c>
      <c r="F293" s="8" t="s">
        <v>860</v>
      </c>
      <c r="G293" s="8" t="s">
        <v>103</v>
      </c>
      <c r="J293" s="8" t="s">
        <v>879</v>
      </c>
    </row>
    <row r="294" spans="4:10" x14ac:dyDescent="0.3">
      <c r="D294" s="8" t="s">
        <v>326</v>
      </c>
      <c r="E294" s="8" t="s">
        <v>860</v>
      </c>
      <c r="F294" s="8" t="s">
        <v>860</v>
      </c>
      <c r="G294" s="8" t="s">
        <v>103</v>
      </c>
      <c r="J294" s="8" t="s">
        <v>880</v>
      </c>
    </row>
    <row r="295" spans="4:10" x14ac:dyDescent="0.3">
      <c r="D295" s="8" t="s">
        <v>136</v>
      </c>
      <c r="E295" s="8" t="s">
        <v>860</v>
      </c>
      <c r="F295" s="8" t="s">
        <v>860</v>
      </c>
      <c r="G295" s="8" t="s">
        <v>103</v>
      </c>
      <c r="J295" s="8" t="s">
        <v>881</v>
      </c>
    </row>
    <row r="296" spans="4:10" x14ac:dyDescent="0.3">
      <c r="D296" s="8" t="s">
        <v>388</v>
      </c>
      <c r="E296" s="8" t="s">
        <v>860</v>
      </c>
      <c r="F296" s="8" t="s">
        <v>860</v>
      </c>
      <c r="G296" s="8" t="s">
        <v>103</v>
      </c>
      <c r="J296" s="8" t="s">
        <v>882</v>
      </c>
    </row>
    <row r="297" spans="4:10" x14ac:dyDescent="0.3">
      <c r="D297" s="8" t="s">
        <v>611</v>
      </c>
      <c r="E297" s="8" t="s">
        <v>860</v>
      </c>
      <c r="F297" s="8" t="s">
        <v>860</v>
      </c>
      <c r="G297" s="8" t="s">
        <v>103</v>
      </c>
      <c r="J297" s="8" t="s">
        <v>883</v>
      </c>
    </row>
    <row r="298" spans="4:10" x14ac:dyDescent="0.3">
      <c r="D298" s="8" t="s">
        <v>524</v>
      </c>
      <c r="E298" s="8" t="s">
        <v>860</v>
      </c>
      <c r="F298" s="8" t="s">
        <v>860</v>
      </c>
      <c r="G298" s="8" t="s">
        <v>103</v>
      </c>
      <c r="J298" s="8" t="s">
        <v>884</v>
      </c>
    </row>
    <row r="299" spans="4:10" x14ac:dyDescent="0.3">
      <c r="D299" s="8" t="s">
        <v>564</v>
      </c>
      <c r="E299" s="8" t="s">
        <v>860</v>
      </c>
      <c r="F299" s="8" t="s">
        <v>860</v>
      </c>
      <c r="G299" s="8" t="s">
        <v>103</v>
      </c>
      <c r="J299" s="8" t="s">
        <v>885</v>
      </c>
    </row>
    <row r="300" spans="4:10" x14ac:dyDescent="0.3">
      <c r="D300" s="8" t="s">
        <v>945</v>
      </c>
      <c r="E300" s="8" t="s">
        <v>860</v>
      </c>
      <c r="F300" s="8" t="s">
        <v>860</v>
      </c>
      <c r="G300" s="8" t="s">
        <v>103</v>
      </c>
      <c r="J300" s="8" t="s">
        <v>886</v>
      </c>
    </row>
    <row r="301" spans="4:10" x14ac:dyDescent="0.3">
      <c r="D301" s="8" t="s">
        <v>127</v>
      </c>
      <c r="E301" s="8" t="s">
        <v>860</v>
      </c>
      <c r="F301" s="8" t="s">
        <v>860</v>
      </c>
      <c r="G301" s="8" t="s">
        <v>103</v>
      </c>
      <c r="J301" s="8" t="s">
        <v>887</v>
      </c>
    </row>
    <row r="302" spans="4:10" x14ac:dyDescent="0.3">
      <c r="D302" s="8" t="s">
        <v>626</v>
      </c>
      <c r="E302" s="8" t="s">
        <v>860</v>
      </c>
      <c r="F302" s="8" t="s">
        <v>860</v>
      </c>
      <c r="G302" s="8" t="s">
        <v>103</v>
      </c>
      <c r="J302" s="8" t="s">
        <v>888</v>
      </c>
    </row>
    <row r="303" spans="4:10" x14ac:dyDescent="0.3">
      <c r="D303" s="8" t="s">
        <v>946</v>
      </c>
      <c r="E303" s="8" t="s">
        <v>860</v>
      </c>
      <c r="F303" s="8" t="s">
        <v>860</v>
      </c>
      <c r="G303" s="8" t="s">
        <v>103</v>
      </c>
      <c r="J303" s="8" t="s">
        <v>889</v>
      </c>
    </row>
    <row r="304" spans="4:10" x14ac:dyDescent="0.3">
      <c r="D304" s="8" t="s">
        <v>196</v>
      </c>
      <c r="E304" s="8" t="s">
        <v>890</v>
      </c>
      <c r="F304" s="8" t="s">
        <v>890</v>
      </c>
      <c r="G304" s="8" t="s">
        <v>103</v>
      </c>
      <c r="J304" s="8" t="s">
        <v>891</v>
      </c>
    </row>
    <row r="305" spans="4:10" x14ac:dyDescent="0.3">
      <c r="D305" s="8" t="s">
        <v>131</v>
      </c>
      <c r="E305" s="8" t="s">
        <v>890</v>
      </c>
      <c r="F305" s="8" t="s">
        <v>890</v>
      </c>
      <c r="G305" s="8" t="s">
        <v>103</v>
      </c>
      <c r="J305" s="8" t="s">
        <v>892</v>
      </c>
    </row>
    <row r="306" spans="4:10" x14ac:dyDescent="0.3">
      <c r="D306" s="8" t="s">
        <v>281</v>
      </c>
      <c r="E306" s="8" t="s">
        <v>890</v>
      </c>
      <c r="F306" s="8" t="s">
        <v>890</v>
      </c>
      <c r="G306" s="8" t="s">
        <v>103</v>
      </c>
      <c r="J306" s="8" t="s">
        <v>893</v>
      </c>
    </row>
    <row r="307" spans="4:10" x14ac:dyDescent="0.3">
      <c r="D307" s="8" t="s">
        <v>290</v>
      </c>
      <c r="E307" s="8" t="s">
        <v>890</v>
      </c>
      <c r="F307" s="8" t="s">
        <v>890</v>
      </c>
      <c r="G307" s="8" t="s">
        <v>103</v>
      </c>
      <c r="J307" s="8" t="s">
        <v>894</v>
      </c>
    </row>
    <row r="308" spans="4:10" x14ac:dyDescent="0.3">
      <c r="D308" s="8" t="s">
        <v>332</v>
      </c>
      <c r="E308" s="8" t="s">
        <v>890</v>
      </c>
      <c r="F308" s="8" t="s">
        <v>890</v>
      </c>
      <c r="G308" s="8" t="s">
        <v>103</v>
      </c>
      <c r="J308" s="8" t="s">
        <v>895</v>
      </c>
    </row>
    <row r="309" spans="4:10" x14ac:dyDescent="0.3">
      <c r="D309" s="8" t="s">
        <v>338</v>
      </c>
      <c r="E309" s="8" t="s">
        <v>890</v>
      </c>
      <c r="F309" s="8" t="s">
        <v>890</v>
      </c>
      <c r="G309" s="8" t="s">
        <v>103</v>
      </c>
      <c r="J309" s="8" t="s">
        <v>896</v>
      </c>
    </row>
    <row r="310" spans="4:10" x14ac:dyDescent="0.3">
      <c r="D310" s="8" t="s">
        <v>464</v>
      </c>
      <c r="E310" s="8" t="s">
        <v>890</v>
      </c>
      <c r="F310" s="8" t="s">
        <v>890</v>
      </c>
      <c r="G310" s="8" t="s">
        <v>103</v>
      </c>
      <c r="J310" s="8" t="s">
        <v>897</v>
      </c>
    </row>
    <row r="311" spans="4:10" x14ac:dyDescent="0.3">
      <c r="D311" s="8" t="s">
        <v>510</v>
      </c>
      <c r="E311" s="8" t="s">
        <v>890</v>
      </c>
      <c r="F311" s="8" t="s">
        <v>890</v>
      </c>
      <c r="G311" s="8" t="s">
        <v>103</v>
      </c>
      <c r="J311" s="8" t="s">
        <v>898</v>
      </c>
    </row>
    <row r="312" spans="4:10" x14ac:dyDescent="0.3">
      <c r="D312" s="8" t="s">
        <v>128</v>
      </c>
      <c r="E312" s="8" t="s">
        <v>890</v>
      </c>
      <c r="F312" s="8" t="s">
        <v>890</v>
      </c>
      <c r="G312" s="8" t="s">
        <v>103</v>
      </c>
      <c r="J312" s="8" t="s">
        <v>899</v>
      </c>
    </row>
    <row r="313" spans="4:10" x14ac:dyDescent="0.3">
      <c r="D313" s="8" t="s">
        <v>225</v>
      </c>
      <c r="E313" s="8" t="s">
        <v>890</v>
      </c>
      <c r="F313" s="8" t="s">
        <v>890</v>
      </c>
      <c r="G313" s="8" t="s">
        <v>103</v>
      </c>
      <c r="J313" s="8" t="s">
        <v>900</v>
      </c>
    </row>
    <row r="314" spans="4:10" x14ac:dyDescent="0.3">
      <c r="D314" s="8" t="s">
        <v>324</v>
      </c>
      <c r="E314" s="8" t="s">
        <v>890</v>
      </c>
      <c r="F314" s="8" t="s">
        <v>890</v>
      </c>
      <c r="G314" s="8" t="s">
        <v>103</v>
      </c>
      <c r="J314" s="8" t="s">
        <v>901</v>
      </c>
    </row>
    <row r="315" spans="4:10" x14ac:dyDescent="0.3">
      <c r="D315" s="8" t="s">
        <v>136</v>
      </c>
      <c r="E315" s="8" t="s">
        <v>890</v>
      </c>
      <c r="F315" s="8" t="s">
        <v>890</v>
      </c>
      <c r="G315" s="8" t="s">
        <v>103</v>
      </c>
      <c r="J315" s="8" t="s">
        <v>902</v>
      </c>
    </row>
    <row r="316" spans="4:10" x14ac:dyDescent="0.3">
      <c r="D316" s="8" t="s">
        <v>945</v>
      </c>
      <c r="E316" s="8" t="s">
        <v>890</v>
      </c>
      <c r="F316" s="8" t="s">
        <v>890</v>
      </c>
      <c r="G316" s="8" t="s">
        <v>103</v>
      </c>
      <c r="J316" s="8" t="s">
        <v>903</v>
      </c>
    </row>
    <row r="317" spans="4:10" x14ac:dyDescent="0.3">
      <c r="D317" s="8" t="s">
        <v>626</v>
      </c>
      <c r="E317" s="8" t="s">
        <v>890</v>
      </c>
      <c r="F317" s="8" t="s">
        <v>890</v>
      </c>
      <c r="G317" s="8" t="s">
        <v>103</v>
      </c>
      <c r="J317" s="8" t="s">
        <v>904</v>
      </c>
    </row>
    <row r="318" spans="4:10" x14ac:dyDescent="0.3">
      <c r="D318" s="8" t="s">
        <v>127</v>
      </c>
      <c r="E318" s="8" t="s">
        <v>890</v>
      </c>
      <c r="F318" s="8" t="s">
        <v>890</v>
      </c>
      <c r="G318" s="8" t="s">
        <v>103</v>
      </c>
      <c r="J318" s="8" t="s">
        <v>905</v>
      </c>
    </row>
    <row r="319" spans="4:10" x14ac:dyDescent="0.3">
      <c r="D319" s="8" t="s">
        <v>946</v>
      </c>
      <c r="E319" s="8" t="s">
        <v>890</v>
      </c>
      <c r="F319" s="8" t="s">
        <v>890</v>
      </c>
      <c r="G319" s="8" t="s">
        <v>103</v>
      </c>
      <c r="J319" s="8" t="s">
        <v>906</v>
      </c>
    </row>
    <row r="320" spans="4:10" x14ac:dyDescent="0.3">
      <c r="D320" s="8" t="s">
        <v>196</v>
      </c>
      <c r="E320" s="8" t="s">
        <v>907</v>
      </c>
      <c r="F320" s="8" t="s">
        <v>907</v>
      </c>
      <c r="G320" s="8" t="s">
        <v>103</v>
      </c>
      <c r="J320" s="8" t="s">
        <v>908</v>
      </c>
    </row>
    <row r="321" spans="4:10" x14ac:dyDescent="0.3">
      <c r="D321" s="8" t="s">
        <v>131</v>
      </c>
      <c r="E321" s="8" t="s">
        <v>907</v>
      </c>
      <c r="F321" s="8" t="s">
        <v>907</v>
      </c>
      <c r="G321" s="8" t="s">
        <v>103</v>
      </c>
      <c r="J321" s="8" t="s">
        <v>909</v>
      </c>
    </row>
    <row r="322" spans="4:10" x14ac:dyDescent="0.3">
      <c r="D322" s="8" t="s">
        <v>281</v>
      </c>
      <c r="E322" s="8" t="s">
        <v>907</v>
      </c>
      <c r="F322" s="8" t="s">
        <v>907</v>
      </c>
      <c r="G322" s="8" t="s">
        <v>103</v>
      </c>
      <c r="J322" s="8" t="s">
        <v>910</v>
      </c>
    </row>
    <row r="323" spans="4:10" x14ac:dyDescent="0.3">
      <c r="D323" s="8" t="s">
        <v>290</v>
      </c>
      <c r="E323" s="8" t="s">
        <v>907</v>
      </c>
      <c r="F323" s="8" t="s">
        <v>907</v>
      </c>
      <c r="G323" s="8" t="s">
        <v>103</v>
      </c>
      <c r="J323" s="8" t="s">
        <v>911</v>
      </c>
    </row>
    <row r="324" spans="4:10" x14ac:dyDescent="0.3">
      <c r="D324" s="8" t="s">
        <v>332</v>
      </c>
      <c r="E324" s="8" t="s">
        <v>907</v>
      </c>
      <c r="F324" s="8" t="s">
        <v>907</v>
      </c>
      <c r="G324" s="8" t="s">
        <v>103</v>
      </c>
      <c r="J324" s="8" t="s">
        <v>912</v>
      </c>
    </row>
    <row r="325" spans="4:10" x14ac:dyDescent="0.3">
      <c r="D325" s="8" t="s">
        <v>338</v>
      </c>
      <c r="E325" s="8" t="s">
        <v>907</v>
      </c>
      <c r="F325" s="8" t="s">
        <v>907</v>
      </c>
      <c r="G325" s="8" t="s">
        <v>103</v>
      </c>
      <c r="J325" s="8" t="s">
        <v>913</v>
      </c>
    </row>
    <row r="326" spans="4:10" x14ac:dyDescent="0.3">
      <c r="D326" s="8" t="s">
        <v>464</v>
      </c>
      <c r="E326" s="8" t="s">
        <v>907</v>
      </c>
      <c r="F326" s="8" t="s">
        <v>907</v>
      </c>
      <c r="G326" s="8" t="s">
        <v>103</v>
      </c>
      <c r="J326" s="8" t="s">
        <v>914</v>
      </c>
    </row>
    <row r="327" spans="4:10" x14ac:dyDescent="0.3">
      <c r="D327" s="8" t="s">
        <v>510</v>
      </c>
      <c r="E327" s="8" t="s">
        <v>907</v>
      </c>
      <c r="F327" s="8" t="s">
        <v>907</v>
      </c>
      <c r="G327" s="8" t="s">
        <v>103</v>
      </c>
      <c r="J327" s="8" t="s">
        <v>915</v>
      </c>
    </row>
    <row r="328" spans="4:10" x14ac:dyDescent="0.3">
      <c r="D328" s="8" t="s">
        <v>128</v>
      </c>
      <c r="E328" s="8" t="s">
        <v>907</v>
      </c>
      <c r="F328" s="8" t="s">
        <v>907</v>
      </c>
      <c r="G328" s="8" t="s">
        <v>103</v>
      </c>
      <c r="J328" s="8" t="s">
        <v>916</v>
      </c>
    </row>
    <row r="329" spans="4:10" x14ac:dyDescent="0.3">
      <c r="D329" s="8" t="s">
        <v>225</v>
      </c>
      <c r="E329" s="8" t="s">
        <v>907</v>
      </c>
      <c r="F329" s="8" t="s">
        <v>907</v>
      </c>
      <c r="G329" s="8" t="s">
        <v>103</v>
      </c>
      <c r="J329" s="8" t="s">
        <v>917</v>
      </c>
    </row>
    <row r="330" spans="4:10" x14ac:dyDescent="0.3">
      <c r="D330" s="8" t="s">
        <v>324</v>
      </c>
      <c r="E330" s="8" t="s">
        <v>907</v>
      </c>
      <c r="F330" s="8" t="s">
        <v>907</v>
      </c>
      <c r="G330" s="8" t="s">
        <v>103</v>
      </c>
      <c r="J330" s="8" t="s">
        <v>918</v>
      </c>
    </row>
    <row r="331" spans="4:10" x14ac:dyDescent="0.3">
      <c r="D331" s="8" t="s">
        <v>136</v>
      </c>
      <c r="E331" s="8" t="s">
        <v>907</v>
      </c>
      <c r="F331" s="8" t="s">
        <v>907</v>
      </c>
      <c r="G331" s="8" t="s">
        <v>103</v>
      </c>
      <c r="J331" s="8" t="s">
        <v>919</v>
      </c>
    </row>
    <row r="332" spans="4:10" x14ac:dyDescent="0.3">
      <c r="D332" s="8" t="s">
        <v>945</v>
      </c>
      <c r="E332" s="8" t="s">
        <v>907</v>
      </c>
      <c r="F332" s="8" t="s">
        <v>907</v>
      </c>
      <c r="G332" s="8" t="s">
        <v>103</v>
      </c>
      <c r="J332" s="8" t="s">
        <v>920</v>
      </c>
    </row>
    <row r="333" spans="4:10" x14ac:dyDescent="0.3">
      <c r="D333" s="8" t="s">
        <v>626</v>
      </c>
      <c r="E333" s="8" t="s">
        <v>907</v>
      </c>
      <c r="F333" s="8" t="s">
        <v>907</v>
      </c>
      <c r="G333" s="8" t="s">
        <v>103</v>
      </c>
      <c r="J333" s="8" t="s">
        <v>921</v>
      </c>
    </row>
    <row r="334" spans="4:10" x14ac:dyDescent="0.3">
      <c r="D334" s="8" t="s">
        <v>127</v>
      </c>
      <c r="E334" s="8" t="s">
        <v>907</v>
      </c>
      <c r="F334" s="8" t="s">
        <v>907</v>
      </c>
      <c r="G334" s="8" t="s">
        <v>103</v>
      </c>
      <c r="J334" s="8" t="s">
        <v>922</v>
      </c>
    </row>
    <row r="335" spans="4:10" x14ac:dyDescent="0.3">
      <c r="D335" s="8" t="s">
        <v>946</v>
      </c>
      <c r="E335" s="8" t="s">
        <v>907</v>
      </c>
      <c r="F335" s="8" t="s">
        <v>907</v>
      </c>
      <c r="G335" s="8" t="s">
        <v>103</v>
      </c>
      <c r="J335" s="8" t="s">
        <v>923</v>
      </c>
    </row>
    <row r="336" spans="4:10" x14ac:dyDescent="0.3">
      <c r="D336" s="8" t="s">
        <v>127</v>
      </c>
      <c r="E336" s="8" t="s">
        <v>924</v>
      </c>
      <c r="F336" s="8" t="s">
        <v>924</v>
      </c>
      <c r="G336" s="8" t="s">
        <v>103</v>
      </c>
      <c r="J336" s="8" t="s">
        <v>925</v>
      </c>
    </row>
    <row r="337" spans="4:10" x14ac:dyDescent="0.3">
      <c r="D337" s="8" t="s">
        <v>290</v>
      </c>
      <c r="E337" s="8" t="s">
        <v>924</v>
      </c>
      <c r="F337" s="8" t="s">
        <v>924</v>
      </c>
      <c r="G337" s="8" t="s">
        <v>103</v>
      </c>
      <c r="J337" s="8" t="s">
        <v>926</v>
      </c>
    </row>
    <row r="338" spans="4:10" x14ac:dyDescent="0.3">
      <c r="D338" s="8" t="s">
        <v>281</v>
      </c>
      <c r="E338" s="8" t="s">
        <v>924</v>
      </c>
      <c r="F338" s="8" t="s">
        <v>924</v>
      </c>
      <c r="G338" s="8" t="s">
        <v>103</v>
      </c>
      <c r="J338" s="8" t="s">
        <v>927</v>
      </c>
    </row>
    <row r="339" spans="4:10" x14ac:dyDescent="0.3">
      <c r="D339" s="8" t="s">
        <v>338</v>
      </c>
      <c r="E339" s="8" t="s">
        <v>924</v>
      </c>
      <c r="F339" s="8" t="s">
        <v>924</v>
      </c>
      <c r="G339" s="8" t="s">
        <v>103</v>
      </c>
      <c r="J339" s="8" t="s">
        <v>928</v>
      </c>
    </row>
    <row r="340" spans="4:10" x14ac:dyDescent="0.3">
      <c r="D340" s="8" t="s">
        <v>127</v>
      </c>
      <c r="E340" s="8" t="s">
        <v>929</v>
      </c>
      <c r="F340" s="8" t="s">
        <v>929</v>
      </c>
      <c r="G340" s="8" t="s">
        <v>103</v>
      </c>
      <c r="J340" s="8" t="s">
        <v>930</v>
      </c>
    </row>
    <row r="341" spans="4:10" x14ac:dyDescent="0.3">
      <c r="D341" s="8" t="s">
        <v>281</v>
      </c>
      <c r="E341" s="8" t="s">
        <v>929</v>
      </c>
      <c r="F341" s="8" t="s">
        <v>929</v>
      </c>
      <c r="G341" s="8" t="s">
        <v>103</v>
      </c>
      <c r="J341" s="8" t="s">
        <v>931</v>
      </c>
    </row>
    <row r="342" spans="4:10" x14ac:dyDescent="0.3">
      <c r="D342" s="8" t="s">
        <v>290</v>
      </c>
      <c r="E342" s="8" t="s">
        <v>929</v>
      </c>
      <c r="F342" s="8" t="s">
        <v>929</v>
      </c>
      <c r="G342" s="8" t="s">
        <v>103</v>
      </c>
      <c r="J342" s="8" t="s">
        <v>932</v>
      </c>
    </row>
    <row r="343" spans="4:10" x14ac:dyDescent="0.3">
      <c r="D343" s="8" t="s">
        <v>332</v>
      </c>
      <c r="E343" s="8" t="s">
        <v>929</v>
      </c>
      <c r="F343" s="8" t="s">
        <v>929</v>
      </c>
      <c r="G343" s="8" t="s">
        <v>103</v>
      </c>
      <c r="J343" s="8" t="s">
        <v>933</v>
      </c>
    </row>
    <row r="344" spans="4:10" x14ac:dyDescent="0.3">
      <c r="D344" s="8" t="s">
        <v>338</v>
      </c>
      <c r="E344" s="8" t="s">
        <v>929</v>
      </c>
      <c r="F344" s="8" t="s">
        <v>929</v>
      </c>
      <c r="G344" s="8" t="s">
        <v>103</v>
      </c>
      <c r="J344" s="8" t="s">
        <v>934</v>
      </c>
    </row>
    <row r="345" spans="4:10" x14ac:dyDescent="0.3">
      <c r="D345" s="8" t="s">
        <v>128</v>
      </c>
      <c r="E345" s="8" t="s">
        <v>929</v>
      </c>
      <c r="F345" s="8" t="s">
        <v>929</v>
      </c>
      <c r="G345" s="8" t="s">
        <v>103</v>
      </c>
      <c r="J345" s="8" t="s">
        <v>935</v>
      </c>
    </row>
    <row r="346" spans="4:10" x14ac:dyDescent="0.3">
      <c r="D346" s="8" t="s">
        <v>261</v>
      </c>
      <c r="E346" s="8" t="s">
        <v>936</v>
      </c>
      <c r="F346" s="8" t="s">
        <v>936</v>
      </c>
      <c r="G346" s="8" t="s">
        <v>103</v>
      </c>
      <c r="J346" s="8" t="s">
        <v>937</v>
      </c>
    </row>
    <row r="347" spans="4:10" x14ac:dyDescent="0.3">
      <c r="D347" s="8" t="s">
        <v>318</v>
      </c>
      <c r="E347" s="8" t="s">
        <v>936</v>
      </c>
      <c r="F347" s="8" t="s">
        <v>936</v>
      </c>
      <c r="G347" s="8" t="s">
        <v>103</v>
      </c>
      <c r="J347" s="8" t="s">
        <v>938</v>
      </c>
    </row>
    <row r="348" spans="4:10" x14ac:dyDescent="0.3">
      <c r="D348" s="8" t="s">
        <v>349</v>
      </c>
      <c r="E348" s="8" t="s">
        <v>936</v>
      </c>
      <c r="F348" s="8" t="s">
        <v>936</v>
      </c>
      <c r="G348" s="8" t="s">
        <v>103</v>
      </c>
      <c r="J348" s="8" t="s">
        <v>939</v>
      </c>
    </row>
    <row r="349" spans="4:10" x14ac:dyDescent="0.3">
      <c r="D349" s="8" t="s">
        <v>366</v>
      </c>
      <c r="E349" s="8" t="s">
        <v>936</v>
      </c>
      <c r="F349" s="8" t="s">
        <v>936</v>
      </c>
      <c r="G349" s="8" t="s">
        <v>103</v>
      </c>
      <c r="J349" s="8" t="s">
        <v>940</v>
      </c>
    </row>
    <row r="350" spans="4:10" x14ac:dyDescent="0.3">
      <c r="D350" s="8" t="s">
        <v>484</v>
      </c>
      <c r="E350" s="8" t="s">
        <v>936</v>
      </c>
      <c r="F350" s="8" t="s">
        <v>936</v>
      </c>
      <c r="G350" s="8" t="s">
        <v>103</v>
      </c>
      <c r="J350" s="8" t="s">
        <v>941</v>
      </c>
    </row>
    <row r="351" spans="4:10" x14ac:dyDescent="0.3">
      <c r="D351" s="8" t="s">
        <v>494</v>
      </c>
      <c r="E351" s="8" t="s">
        <v>936</v>
      </c>
      <c r="F351" s="8" t="s">
        <v>936</v>
      </c>
      <c r="G351" s="8" t="s">
        <v>103</v>
      </c>
      <c r="J351" s="8" t="s">
        <v>942</v>
      </c>
    </row>
    <row r="352" spans="4:10" x14ac:dyDescent="0.3">
      <c r="D352" s="8" t="s">
        <v>506</v>
      </c>
      <c r="E352" s="8" t="s">
        <v>936</v>
      </c>
      <c r="F352" s="8" t="s">
        <v>936</v>
      </c>
      <c r="G352" s="8" t="s">
        <v>103</v>
      </c>
      <c r="J352" s="8" t="s">
        <v>943</v>
      </c>
    </row>
    <row r="353" spans="4:10" x14ac:dyDescent="0.3">
      <c r="D353" s="8" t="s">
        <v>947</v>
      </c>
      <c r="E353" s="8" t="s">
        <v>936</v>
      </c>
      <c r="F353" s="8" t="s">
        <v>936</v>
      </c>
      <c r="G353" s="8" t="s">
        <v>103</v>
      </c>
      <c r="J353" s="8" t="s">
        <v>944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A1:B273"/>
  <sheetViews>
    <sheetView topLeftCell="A239" workbookViewId="0">
      <selection activeCell="B106" sqref="B106"/>
    </sheetView>
  </sheetViews>
  <sheetFormatPr defaultRowHeight="10.15" x14ac:dyDescent="0.3"/>
  <cols>
    <col min="1" max="16384" width="9.06640625" style="2"/>
  </cols>
  <sheetData>
    <row r="1" spans="1:2" x14ac:dyDescent="0.3">
      <c r="A1" s="5" t="s">
        <v>112</v>
      </c>
      <c r="B1" s="3" t="s">
        <v>119</v>
      </c>
    </row>
    <row r="2" spans="1:2" x14ac:dyDescent="0.3">
      <c r="A2" s="6" t="s">
        <v>0</v>
      </c>
      <c r="B2" s="7" t="s">
        <v>1</v>
      </c>
    </row>
    <row r="3" spans="1:2" x14ac:dyDescent="0.3">
      <c r="A3" s="6" t="s">
        <v>2</v>
      </c>
      <c r="B3" s="7" t="s">
        <v>3</v>
      </c>
    </row>
    <row r="4" spans="1:2" x14ac:dyDescent="0.3">
      <c r="A4" s="6" t="s">
        <v>4</v>
      </c>
      <c r="B4" s="7" t="s">
        <v>5</v>
      </c>
    </row>
    <row r="5" spans="1:2" x14ac:dyDescent="0.3">
      <c r="A5" s="6" t="s">
        <v>6</v>
      </c>
      <c r="B5" s="7" t="s">
        <v>7</v>
      </c>
    </row>
    <row r="6" spans="1:2" x14ac:dyDescent="0.3">
      <c r="A6" s="6" t="s">
        <v>8</v>
      </c>
      <c r="B6" s="7" t="s">
        <v>124</v>
      </c>
    </row>
    <row r="7" spans="1:2" x14ac:dyDescent="0.3">
      <c r="A7" s="6" t="s">
        <v>9</v>
      </c>
      <c r="B7" s="7" t="s">
        <v>10</v>
      </c>
    </row>
    <row r="8" spans="1:2" x14ac:dyDescent="0.3">
      <c r="A8" s="6" t="s">
        <v>11</v>
      </c>
      <c r="B8" s="7" t="s">
        <v>12</v>
      </c>
    </row>
    <row r="9" spans="1:2" x14ac:dyDescent="0.3">
      <c r="A9" s="6" t="s">
        <v>13</v>
      </c>
      <c r="B9" s="7" t="s">
        <v>14</v>
      </c>
    </row>
    <row r="10" spans="1:2" x14ac:dyDescent="0.3">
      <c r="A10" s="6" t="s">
        <v>15</v>
      </c>
      <c r="B10" s="7" t="s">
        <v>16</v>
      </c>
    </row>
    <row r="11" spans="1:2" x14ac:dyDescent="0.3">
      <c r="A11" s="6" t="s">
        <v>17</v>
      </c>
      <c r="B11" s="7" t="s">
        <v>18</v>
      </c>
    </row>
    <row r="12" spans="1:2" x14ac:dyDescent="0.3">
      <c r="A12" s="6" t="s">
        <v>19</v>
      </c>
      <c r="B12" s="7" t="s">
        <v>20</v>
      </c>
    </row>
    <row r="13" spans="1:2" x14ac:dyDescent="0.3">
      <c r="A13" s="6" t="s">
        <v>21</v>
      </c>
      <c r="B13" s="7" t="s">
        <v>22</v>
      </c>
    </row>
    <row r="14" spans="1:2" x14ac:dyDescent="0.3">
      <c r="A14" s="6" t="s">
        <v>23</v>
      </c>
      <c r="B14" s="7" t="s">
        <v>24</v>
      </c>
    </row>
    <row r="15" spans="1:2" x14ac:dyDescent="0.3">
      <c r="A15" s="6" t="s">
        <v>25</v>
      </c>
      <c r="B15" s="7" t="s">
        <v>26</v>
      </c>
    </row>
    <row r="16" spans="1:2" x14ac:dyDescent="0.3">
      <c r="A16" s="6" t="s">
        <v>27</v>
      </c>
      <c r="B16" s="7" t="s">
        <v>28</v>
      </c>
    </row>
    <row r="17" spans="1:2" x14ac:dyDescent="0.3">
      <c r="A17" s="6" t="s">
        <v>29</v>
      </c>
      <c r="B17" s="7" t="s">
        <v>30</v>
      </c>
    </row>
    <row r="18" spans="1:2" x14ac:dyDescent="0.3">
      <c r="A18" s="6" t="s">
        <v>31</v>
      </c>
      <c r="B18" s="7" t="s">
        <v>32</v>
      </c>
    </row>
    <row r="19" spans="1:2" x14ac:dyDescent="0.3">
      <c r="A19" s="6" t="s">
        <v>33</v>
      </c>
      <c r="B19" s="7" t="s">
        <v>34</v>
      </c>
    </row>
    <row r="20" spans="1:2" x14ac:dyDescent="0.3">
      <c r="A20" s="6" t="s">
        <v>35</v>
      </c>
      <c r="B20" s="7" t="s">
        <v>36</v>
      </c>
    </row>
    <row r="21" spans="1:2" x14ac:dyDescent="0.3">
      <c r="A21" s="6" t="s">
        <v>37</v>
      </c>
      <c r="B21" s="7" t="s">
        <v>38</v>
      </c>
    </row>
    <row r="22" spans="1:2" x14ac:dyDescent="0.3">
      <c r="A22" s="6" t="s">
        <v>39</v>
      </c>
      <c r="B22" s="7" t="s">
        <v>40</v>
      </c>
    </row>
    <row r="23" spans="1:2" x14ac:dyDescent="0.3">
      <c r="A23" s="6" t="s">
        <v>41</v>
      </c>
      <c r="B23" s="7" t="s">
        <v>42</v>
      </c>
    </row>
    <row r="24" spans="1:2" x14ac:dyDescent="0.3">
      <c r="A24" s="6" t="s">
        <v>43</v>
      </c>
      <c r="B24" s="7" t="s">
        <v>44</v>
      </c>
    </row>
    <row r="25" spans="1:2" x14ac:dyDescent="0.3">
      <c r="A25" s="6" t="s">
        <v>45</v>
      </c>
      <c r="B25" s="7" t="s">
        <v>46</v>
      </c>
    </row>
    <row r="26" spans="1:2" x14ac:dyDescent="0.3">
      <c r="A26" s="6" t="s">
        <v>47</v>
      </c>
      <c r="B26" s="7" t="s">
        <v>48</v>
      </c>
    </row>
    <row r="27" spans="1:2" x14ac:dyDescent="0.3">
      <c r="A27" s="6" t="s">
        <v>49</v>
      </c>
      <c r="B27" s="7" t="s">
        <v>50</v>
      </c>
    </row>
    <row r="28" spans="1:2" x14ac:dyDescent="0.3">
      <c r="A28" s="6" t="s">
        <v>51</v>
      </c>
      <c r="B28" s="7" t="s">
        <v>52</v>
      </c>
    </row>
    <row r="29" spans="1:2" x14ac:dyDescent="0.3">
      <c r="A29" s="6" t="s">
        <v>53</v>
      </c>
      <c r="B29" s="7" t="s">
        <v>54</v>
      </c>
    </row>
    <row r="30" spans="1:2" x14ac:dyDescent="0.3">
      <c r="A30" s="6" t="s">
        <v>55</v>
      </c>
      <c r="B30" s="7" t="s">
        <v>56</v>
      </c>
    </row>
    <row r="31" spans="1:2" x14ac:dyDescent="0.3">
      <c r="A31" s="6" t="s">
        <v>57</v>
      </c>
      <c r="B31" s="7" t="s">
        <v>58</v>
      </c>
    </row>
    <row r="32" spans="1:2" x14ac:dyDescent="0.3">
      <c r="A32" s="6" t="s">
        <v>59</v>
      </c>
      <c r="B32" s="7" t="s">
        <v>60</v>
      </c>
    </row>
    <row r="33" spans="1:2" x14ac:dyDescent="0.3">
      <c r="A33" s="6" t="s">
        <v>61</v>
      </c>
      <c r="B33" s="7" t="s">
        <v>62</v>
      </c>
    </row>
    <row r="34" spans="1:2" x14ac:dyDescent="0.3">
      <c r="A34" s="6" t="s">
        <v>63</v>
      </c>
      <c r="B34" s="7" t="s">
        <v>64</v>
      </c>
    </row>
    <row r="35" spans="1:2" x14ac:dyDescent="0.3">
      <c r="A35" s="6" t="s">
        <v>65</v>
      </c>
      <c r="B35" s="7" t="s">
        <v>66</v>
      </c>
    </row>
    <row r="36" spans="1:2" x14ac:dyDescent="0.3">
      <c r="A36" s="6" t="s">
        <v>67</v>
      </c>
      <c r="B36" s="7" t="s">
        <v>68</v>
      </c>
    </row>
    <row r="37" spans="1:2" x14ac:dyDescent="0.3">
      <c r="A37" s="6" t="s">
        <v>69</v>
      </c>
      <c r="B37" s="7" t="s">
        <v>70</v>
      </c>
    </row>
    <row r="38" spans="1:2" x14ac:dyDescent="0.3">
      <c r="A38" s="6" t="s">
        <v>71</v>
      </c>
      <c r="B38" s="7" t="s">
        <v>72</v>
      </c>
    </row>
    <row r="39" spans="1:2" x14ac:dyDescent="0.3">
      <c r="A39" s="6" t="s">
        <v>73</v>
      </c>
      <c r="B39" s="7" t="s">
        <v>74</v>
      </c>
    </row>
    <row r="40" spans="1:2" x14ac:dyDescent="0.3">
      <c r="A40" s="6" t="s">
        <v>75</v>
      </c>
      <c r="B40" s="7" t="s">
        <v>76</v>
      </c>
    </row>
    <row r="41" spans="1:2" x14ac:dyDescent="0.3">
      <c r="A41" s="6" t="s">
        <v>77</v>
      </c>
      <c r="B41" s="7" t="s">
        <v>78</v>
      </c>
    </row>
    <row r="42" spans="1:2" x14ac:dyDescent="0.3">
      <c r="A42" s="6" t="s">
        <v>79</v>
      </c>
      <c r="B42" s="7" t="s">
        <v>80</v>
      </c>
    </row>
    <row r="43" spans="1:2" x14ac:dyDescent="0.3">
      <c r="A43" s="6" t="s">
        <v>81</v>
      </c>
      <c r="B43" s="7" t="s">
        <v>82</v>
      </c>
    </row>
    <row r="44" spans="1:2" x14ac:dyDescent="0.3">
      <c r="A44" s="6" t="s">
        <v>83</v>
      </c>
      <c r="B44" s="7" t="s">
        <v>84</v>
      </c>
    </row>
    <row r="45" spans="1:2" x14ac:dyDescent="0.3">
      <c r="A45" s="6" t="s">
        <v>85</v>
      </c>
      <c r="B45" s="7" t="s">
        <v>86</v>
      </c>
    </row>
    <row r="46" spans="1:2" x14ac:dyDescent="0.3">
      <c r="A46" s="6" t="s">
        <v>87</v>
      </c>
      <c r="B46" s="7" t="s">
        <v>88</v>
      </c>
    </row>
    <row r="47" spans="1:2" x14ac:dyDescent="0.3">
      <c r="A47" s="6" t="s">
        <v>89</v>
      </c>
      <c r="B47" s="7" t="s">
        <v>90</v>
      </c>
    </row>
    <row r="48" spans="1:2" x14ac:dyDescent="0.3">
      <c r="A48" s="6" t="s">
        <v>91</v>
      </c>
      <c r="B48" s="7" t="s">
        <v>92</v>
      </c>
    </row>
    <row r="49" spans="1:2" x14ac:dyDescent="0.3">
      <c r="A49" s="6" t="s">
        <v>93</v>
      </c>
      <c r="B49" s="7" t="s">
        <v>94</v>
      </c>
    </row>
    <row r="50" spans="1:2" x14ac:dyDescent="0.3">
      <c r="A50" s="6" t="s">
        <v>95</v>
      </c>
      <c r="B50" s="7" t="s">
        <v>96</v>
      </c>
    </row>
    <row r="51" spans="1:2" x14ac:dyDescent="0.3">
      <c r="A51" s="6" t="s">
        <v>97</v>
      </c>
      <c r="B51" s="7" t="s">
        <v>98</v>
      </c>
    </row>
    <row r="52" spans="1:2" x14ac:dyDescent="0.3">
      <c r="A52" s="2" t="s">
        <v>144</v>
      </c>
      <c r="B52" s="2" t="s">
        <v>143</v>
      </c>
    </row>
    <row r="53" spans="1:2" x14ac:dyDescent="0.3">
      <c r="A53" s="2" t="s">
        <v>146</v>
      </c>
      <c r="B53" s="2" t="s">
        <v>145</v>
      </c>
    </row>
    <row r="54" spans="1:2" x14ac:dyDescent="0.3">
      <c r="A54" s="2" t="s">
        <v>148</v>
      </c>
      <c r="B54" s="2" t="s">
        <v>147</v>
      </c>
    </row>
    <row r="55" spans="1:2" x14ac:dyDescent="0.3">
      <c r="A55" s="2" t="s">
        <v>150</v>
      </c>
      <c r="B55" s="2" t="s">
        <v>149</v>
      </c>
    </row>
    <row r="56" spans="1:2" x14ac:dyDescent="0.3">
      <c r="A56" s="2" t="s">
        <v>152</v>
      </c>
      <c r="B56" s="2" t="s">
        <v>151</v>
      </c>
    </row>
    <row r="57" spans="1:2" x14ac:dyDescent="0.3">
      <c r="A57" s="2" t="s">
        <v>154</v>
      </c>
      <c r="B57" s="2" t="s">
        <v>153</v>
      </c>
    </row>
    <row r="58" spans="1:2" x14ac:dyDescent="0.3">
      <c r="A58" s="2" t="s">
        <v>156</v>
      </c>
      <c r="B58" s="2" t="s">
        <v>155</v>
      </c>
    </row>
    <row r="59" spans="1:2" x14ac:dyDescent="0.3">
      <c r="A59" s="2" t="s">
        <v>158</v>
      </c>
      <c r="B59" s="2" t="s">
        <v>157</v>
      </c>
    </row>
    <row r="60" spans="1:2" x14ac:dyDescent="0.3">
      <c r="A60" s="2" t="s">
        <v>160</v>
      </c>
      <c r="B60" s="2" t="s">
        <v>159</v>
      </c>
    </row>
    <row r="61" spans="1:2" x14ac:dyDescent="0.3">
      <c r="A61" s="2" t="s">
        <v>162</v>
      </c>
      <c r="B61" s="2" t="s">
        <v>161</v>
      </c>
    </row>
    <row r="62" spans="1:2" x14ac:dyDescent="0.3">
      <c r="A62" s="2" t="s">
        <v>164</v>
      </c>
      <c r="B62" s="2" t="s">
        <v>163</v>
      </c>
    </row>
    <row r="63" spans="1:2" x14ac:dyDescent="0.3">
      <c r="A63" s="2" t="s">
        <v>165</v>
      </c>
      <c r="B63" s="2" t="s">
        <v>129</v>
      </c>
    </row>
    <row r="64" spans="1:2" x14ac:dyDescent="0.3">
      <c r="A64" s="2" t="s">
        <v>167</v>
      </c>
      <c r="B64" s="2" t="s">
        <v>166</v>
      </c>
    </row>
    <row r="65" spans="1:2" x14ac:dyDescent="0.3">
      <c r="A65" s="2" t="s">
        <v>169</v>
      </c>
      <c r="B65" s="2" t="s">
        <v>168</v>
      </c>
    </row>
    <row r="66" spans="1:2" x14ac:dyDescent="0.3">
      <c r="A66" s="2" t="s">
        <v>171</v>
      </c>
      <c r="B66" s="2" t="s">
        <v>170</v>
      </c>
    </row>
    <row r="67" spans="1:2" x14ac:dyDescent="0.3">
      <c r="A67" s="2" t="s">
        <v>173</v>
      </c>
      <c r="B67" s="2" t="s">
        <v>172</v>
      </c>
    </row>
    <row r="68" spans="1:2" x14ac:dyDescent="0.3">
      <c r="A68" s="2" t="s">
        <v>175</v>
      </c>
      <c r="B68" s="2" t="s">
        <v>174</v>
      </c>
    </row>
    <row r="69" spans="1:2" x14ac:dyDescent="0.3">
      <c r="A69" s="2" t="s">
        <v>177</v>
      </c>
      <c r="B69" s="2" t="s">
        <v>176</v>
      </c>
    </row>
    <row r="70" spans="1:2" x14ac:dyDescent="0.3">
      <c r="A70" s="2" t="s">
        <v>179</v>
      </c>
      <c r="B70" s="2" t="s">
        <v>178</v>
      </c>
    </row>
    <row r="71" spans="1:2" x14ac:dyDescent="0.3">
      <c r="A71" s="2" t="s">
        <v>181</v>
      </c>
      <c r="B71" s="2" t="s">
        <v>180</v>
      </c>
    </row>
    <row r="72" spans="1:2" x14ac:dyDescent="0.3">
      <c r="A72" s="2" t="s">
        <v>183</v>
      </c>
      <c r="B72" s="2" t="s">
        <v>182</v>
      </c>
    </row>
    <row r="73" spans="1:2" x14ac:dyDescent="0.3">
      <c r="A73" s="2" t="s">
        <v>185</v>
      </c>
      <c r="B73" s="2" t="s">
        <v>184</v>
      </c>
    </row>
    <row r="74" spans="1:2" x14ac:dyDescent="0.3">
      <c r="A74" s="2" t="s">
        <v>187</v>
      </c>
      <c r="B74" s="2" t="s">
        <v>186</v>
      </c>
    </row>
    <row r="75" spans="1:2" x14ac:dyDescent="0.3">
      <c r="A75" s="2" t="s">
        <v>189</v>
      </c>
      <c r="B75" s="2" t="s">
        <v>188</v>
      </c>
    </row>
    <row r="76" spans="1:2" x14ac:dyDescent="0.3">
      <c r="A76" s="2" t="s">
        <v>191</v>
      </c>
      <c r="B76" s="2" t="s">
        <v>190</v>
      </c>
    </row>
    <row r="77" spans="1:2" x14ac:dyDescent="0.3">
      <c r="A77" s="2" t="s">
        <v>193</v>
      </c>
      <c r="B77" s="2" t="s">
        <v>192</v>
      </c>
    </row>
    <row r="78" spans="1:2" x14ac:dyDescent="0.3">
      <c r="A78" s="2" t="s">
        <v>195</v>
      </c>
      <c r="B78" s="2" t="s">
        <v>194</v>
      </c>
    </row>
    <row r="79" spans="1:2" x14ac:dyDescent="0.3">
      <c r="A79" s="2" t="s">
        <v>197</v>
      </c>
      <c r="B79" s="2" t="s">
        <v>196</v>
      </c>
    </row>
    <row r="80" spans="1:2" x14ac:dyDescent="0.3">
      <c r="A80" s="2" t="s">
        <v>199</v>
      </c>
      <c r="B80" s="2" t="s">
        <v>198</v>
      </c>
    </row>
    <row r="81" spans="1:2" x14ac:dyDescent="0.3">
      <c r="A81" s="2" t="s">
        <v>201</v>
      </c>
      <c r="B81" s="2" t="s">
        <v>200</v>
      </c>
    </row>
    <row r="82" spans="1:2" x14ac:dyDescent="0.3">
      <c r="A82" s="2" t="s">
        <v>203</v>
      </c>
      <c r="B82" s="2" t="s">
        <v>202</v>
      </c>
    </row>
    <row r="83" spans="1:2" x14ac:dyDescent="0.3">
      <c r="A83" s="2" t="s">
        <v>205</v>
      </c>
      <c r="B83" s="2" t="s">
        <v>204</v>
      </c>
    </row>
    <row r="84" spans="1:2" x14ac:dyDescent="0.3">
      <c r="A84" s="2" t="s">
        <v>207</v>
      </c>
      <c r="B84" s="2" t="s">
        <v>206</v>
      </c>
    </row>
    <row r="85" spans="1:2" x14ac:dyDescent="0.3">
      <c r="A85" s="2" t="s">
        <v>209</v>
      </c>
      <c r="B85" s="2" t="s">
        <v>208</v>
      </c>
    </row>
    <row r="86" spans="1:2" x14ac:dyDescent="0.3">
      <c r="A86" s="2" t="s">
        <v>211</v>
      </c>
      <c r="B86" s="2" t="s">
        <v>210</v>
      </c>
    </row>
    <row r="87" spans="1:2" x14ac:dyDescent="0.3">
      <c r="A87" s="2" t="s">
        <v>213</v>
      </c>
      <c r="B87" s="2" t="s">
        <v>212</v>
      </c>
    </row>
    <row r="88" spans="1:2" x14ac:dyDescent="0.3">
      <c r="A88" s="2" t="s">
        <v>215</v>
      </c>
      <c r="B88" s="2" t="s">
        <v>214</v>
      </c>
    </row>
    <row r="89" spans="1:2" x14ac:dyDescent="0.3">
      <c r="A89" s="2" t="s">
        <v>216</v>
      </c>
      <c r="B89" s="2" t="s">
        <v>132</v>
      </c>
    </row>
    <row r="90" spans="1:2" x14ac:dyDescent="0.3">
      <c r="A90" s="2" t="s">
        <v>218</v>
      </c>
      <c r="B90" s="2" t="s">
        <v>217</v>
      </c>
    </row>
    <row r="91" spans="1:2" x14ac:dyDescent="0.3">
      <c r="A91" s="2" t="s">
        <v>220</v>
      </c>
      <c r="B91" s="2" t="s">
        <v>219</v>
      </c>
    </row>
    <row r="92" spans="1:2" x14ac:dyDescent="0.3">
      <c r="A92" s="2" t="s">
        <v>222</v>
      </c>
      <c r="B92" s="2" t="s">
        <v>221</v>
      </c>
    </row>
    <row r="93" spans="1:2" x14ac:dyDescent="0.3">
      <c r="A93" s="2" t="s">
        <v>224</v>
      </c>
      <c r="B93" s="2" t="s">
        <v>223</v>
      </c>
    </row>
    <row r="94" spans="1:2" x14ac:dyDescent="0.3">
      <c r="A94" s="2" t="s">
        <v>226</v>
      </c>
      <c r="B94" s="2" t="s">
        <v>225</v>
      </c>
    </row>
    <row r="95" spans="1:2" x14ac:dyDescent="0.3">
      <c r="A95" s="2" t="s">
        <v>228</v>
      </c>
      <c r="B95" s="2" t="s">
        <v>227</v>
      </c>
    </row>
    <row r="96" spans="1:2" x14ac:dyDescent="0.3">
      <c r="A96" s="2" t="s">
        <v>230</v>
      </c>
      <c r="B96" s="2" t="s">
        <v>229</v>
      </c>
    </row>
    <row r="97" spans="1:2" x14ac:dyDescent="0.3">
      <c r="A97" s="2" t="s">
        <v>232</v>
      </c>
      <c r="B97" s="2" t="s">
        <v>231</v>
      </c>
    </row>
    <row r="98" spans="1:2" x14ac:dyDescent="0.3">
      <c r="A98" s="2" t="s">
        <v>234</v>
      </c>
      <c r="B98" s="2" t="s">
        <v>233</v>
      </c>
    </row>
    <row r="99" spans="1:2" x14ac:dyDescent="0.3">
      <c r="A99" s="2" t="s">
        <v>236</v>
      </c>
      <c r="B99" s="2" t="s">
        <v>235</v>
      </c>
    </row>
    <row r="100" spans="1:2" x14ac:dyDescent="0.3">
      <c r="A100" s="2" t="s">
        <v>238</v>
      </c>
      <c r="B100" s="2" t="s">
        <v>237</v>
      </c>
    </row>
    <row r="101" spans="1:2" x14ac:dyDescent="0.3">
      <c r="A101" s="2" t="s">
        <v>240</v>
      </c>
      <c r="B101" s="2" t="s">
        <v>239</v>
      </c>
    </row>
    <row r="102" spans="1:2" x14ac:dyDescent="0.3">
      <c r="A102" s="2" t="s">
        <v>242</v>
      </c>
      <c r="B102" s="2" t="s">
        <v>241</v>
      </c>
    </row>
    <row r="103" spans="1:2" x14ac:dyDescent="0.3">
      <c r="A103" s="2" t="s">
        <v>244</v>
      </c>
      <c r="B103" s="2" t="s">
        <v>243</v>
      </c>
    </row>
    <row r="104" spans="1:2" x14ac:dyDescent="0.3">
      <c r="A104" s="2" t="s">
        <v>246</v>
      </c>
      <c r="B104" s="2" t="s">
        <v>245</v>
      </c>
    </row>
    <row r="105" spans="1:2" x14ac:dyDescent="0.3">
      <c r="A105" s="2" t="s">
        <v>248</v>
      </c>
      <c r="B105" s="2" t="s">
        <v>247</v>
      </c>
    </row>
    <row r="106" spans="1:2" x14ac:dyDescent="0.3">
      <c r="A106" s="2" t="s">
        <v>250</v>
      </c>
      <c r="B106" s="2" t="s">
        <v>249</v>
      </c>
    </row>
    <row r="107" spans="1:2" x14ac:dyDescent="0.3">
      <c r="A107" s="2" t="s">
        <v>252</v>
      </c>
      <c r="B107" s="2" t="s">
        <v>251</v>
      </c>
    </row>
    <row r="108" spans="1:2" x14ac:dyDescent="0.3">
      <c r="A108" s="2" t="s">
        <v>254</v>
      </c>
      <c r="B108" s="2" t="s">
        <v>253</v>
      </c>
    </row>
    <row r="109" spans="1:2" x14ac:dyDescent="0.3">
      <c r="A109" s="2" t="s">
        <v>256</v>
      </c>
      <c r="B109" s="2" t="s">
        <v>255</v>
      </c>
    </row>
    <row r="110" spans="1:2" x14ac:dyDescent="0.3">
      <c r="A110" s="2" t="s">
        <v>258</v>
      </c>
      <c r="B110" s="2" t="s">
        <v>257</v>
      </c>
    </row>
    <row r="111" spans="1:2" x14ac:dyDescent="0.3">
      <c r="A111" s="2" t="s">
        <v>260</v>
      </c>
      <c r="B111" s="2" t="s">
        <v>259</v>
      </c>
    </row>
    <row r="112" spans="1:2" x14ac:dyDescent="0.3">
      <c r="A112" s="2" t="s">
        <v>262</v>
      </c>
      <c r="B112" s="2" t="s">
        <v>261</v>
      </c>
    </row>
    <row r="113" spans="1:2" x14ac:dyDescent="0.3">
      <c r="A113" s="2" t="s">
        <v>264</v>
      </c>
      <c r="B113" s="2" t="s">
        <v>263</v>
      </c>
    </row>
    <row r="114" spans="1:2" x14ac:dyDescent="0.3">
      <c r="A114" s="2" t="s">
        <v>266</v>
      </c>
      <c r="B114" s="2" t="s">
        <v>265</v>
      </c>
    </row>
    <row r="115" spans="1:2" x14ac:dyDescent="0.3">
      <c r="A115" s="2" t="s">
        <v>268</v>
      </c>
      <c r="B115" s="2" t="s">
        <v>267</v>
      </c>
    </row>
    <row r="116" spans="1:2" x14ac:dyDescent="0.3">
      <c r="A116" s="2" t="s">
        <v>270</v>
      </c>
      <c r="B116" s="2" t="s">
        <v>269</v>
      </c>
    </row>
    <row r="117" spans="1:2" x14ac:dyDescent="0.3">
      <c r="A117" s="2" t="s">
        <v>272</v>
      </c>
      <c r="B117" s="2" t="s">
        <v>271</v>
      </c>
    </row>
    <row r="118" spans="1:2" x14ac:dyDescent="0.3">
      <c r="A118" s="2" t="s">
        <v>274</v>
      </c>
      <c r="B118" s="2" t="s">
        <v>273</v>
      </c>
    </row>
    <row r="119" spans="1:2" x14ac:dyDescent="0.3">
      <c r="A119" s="2" t="s">
        <v>276</v>
      </c>
      <c r="B119" s="2" t="s">
        <v>275</v>
      </c>
    </row>
    <row r="120" spans="1:2" x14ac:dyDescent="0.3">
      <c r="A120" s="2" t="s">
        <v>278</v>
      </c>
      <c r="B120" s="2" t="s">
        <v>277</v>
      </c>
    </row>
    <row r="121" spans="1:2" x14ac:dyDescent="0.3">
      <c r="A121" s="2" t="s">
        <v>280</v>
      </c>
      <c r="B121" s="2" t="s">
        <v>279</v>
      </c>
    </row>
    <row r="122" spans="1:2" x14ac:dyDescent="0.3">
      <c r="A122" s="2" t="s">
        <v>282</v>
      </c>
      <c r="B122" s="2" t="s">
        <v>281</v>
      </c>
    </row>
    <row r="123" spans="1:2" x14ac:dyDescent="0.3">
      <c r="A123" s="2" t="s">
        <v>284</v>
      </c>
      <c r="B123" s="2" t="s">
        <v>283</v>
      </c>
    </row>
    <row r="124" spans="1:2" x14ac:dyDescent="0.3">
      <c r="A124" s="2" t="s">
        <v>286</v>
      </c>
      <c r="B124" s="2" t="s">
        <v>285</v>
      </c>
    </row>
    <row r="125" spans="1:2" x14ac:dyDescent="0.3">
      <c r="A125" s="2" t="s">
        <v>288</v>
      </c>
      <c r="B125" s="2" t="s">
        <v>287</v>
      </c>
    </row>
    <row r="126" spans="1:2" x14ac:dyDescent="0.3">
      <c r="A126" s="2" t="s">
        <v>289</v>
      </c>
      <c r="B126" s="2" t="s">
        <v>580</v>
      </c>
    </row>
    <row r="127" spans="1:2" x14ac:dyDescent="0.3">
      <c r="A127" s="2" t="s">
        <v>291</v>
      </c>
      <c r="B127" s="2" t="s">
        <v>290</v>
      </c>
    </row>
    <row r="128" spans="1:2" x14ac:dyDescent="0.3">
      <c r="A128" s="2" t="s">
        <v>293</v>
      </c>
      <c r="B128" s="2" t="s">
        <v>292</v>
      </c>
    </row>
    <row r="129" spans="1:2" x14ac:dyDescent="0.3">
      <c r="A129" s="2" t="s">
        <v>295</v>
      </c>
      <c r="B129" s="2" t="s">
        <v>294</v>
      </c>
    </row>
    <row r="130" spans="1:2" x14ac:dyDescent="0.3">
      <c r="A130" s="2" t="s">
        <v>297</v>
      </c>
      <c r="B130" s="2" t="s">
        <v>296</v>
      </c>
    </row>
    <row r="131" spans="1:2" x14ac:dyDescent="0.3">
      <c r="A131" s="2" t="s">
        <v>299</v>
      </c>
      <c r="B131" s="2" t="s">
        <v>298</v>
      </c>
    </row>
    <row r="132" spans="1:2" x14ac:dyDescent="0.3">
      <c r="A132" s="2" t="s">
        <v>301</v>
      </c>
      <c r="B132" s="2" t="s">
        <v>300</v>
      </c>
    </row>
    <row r="133" spans="1:2" x14ac:dyDescent="0.3">
      <c r="A133" s="2" t="s">
        <v>303</v>
      </c>
      <c r="B133" s="2" t="s">
        <v>302</v>
      </c>
    </row>
    <row r="134" spans="1:2" x14ac:dyDescent="0.3">
      <c r="A134" s="2" t="s">
        <v>305</v>
      </c>
      <c r="B134" s="2" t="s">
        <v>304</v>
      </c>
    </row>
    <row r="135" spans="1:2" x14ac:dyDescent="0.3">
      <c r="A135" s="2" t="s">
        <v>307</v>
      </c>
      <c r="B135" s="2" t="s">
        <v>306</v>
      </c>
    </row>
    <row r="136" spans="1:2" x14ac:dyDescent="0.3">
      <c r="A136" s="2" t="s">
        <v>309</v>
      </c>
      <c r="B136" s="2" t="s">
        <v>308</v>
      </c>
    </row>
    <row r="137" spans="1:2" x14ac:dyDescent="0.3">
      <c r="A137" s="2" t="s">
        <v>311</v>
      </c>
      <c r="B137" s="2" t="s">
        <v>310</v>
      </c>
    </row>
    <row r="138" spans="1:2" x14ac:dyDescent="0.3">
      <c r="A138" s="2" t="s">
        <v>313</v>
      </c>
      <c r="B138" s="2" t="s">
        <v>312</v>
      </c>
    </row>
    <row r="139" spans="1:2" x14ac:dyDescent="0.3">
      <c r="A139" s="2" t="s">
        <v>315</v>
      </c>
      <c r="B139" s="2" t="s">
        <v>314</v>
      </c>
    </row>
    <row r="140" spans="1:2" x14ac:dyDescent="0.3">
      <c r="A140" s="2" t="s">
        <v>317</v>
      </c>
      <c r="B140" s="2" t="s">
        <v>316</v>
      </c>
    </row>
    <row r="141" spans="1:2" x14ac:dyDescent="0.3">
      <c r="A141" s="2" t="s">
        <v>319</v>
      </c>
      <c r="B141" s="2" t="s">
        <v>318</v>
      </c>
    </row>
    <row r="142" spans="1:2" x14ac:dyDescent="0.3">
      <c r="A142" s="2" t="s">
        <v>321</v>
      </c>
      <c r="B142" s="2" t="s">
        <v>320</v>
      </c>
    </row>
    <row r="143" spans="1:2" x14ac:dyDescent="0.3">
      <c r="A143" s="2" t="s">
        <v>323</v>
      </c>
      <c r="B143" s="2" t="s">
        <v>322</v>
      </c>
    </row>
    <row r="144" spans="1:2" x14ac:dyDescent="0.3">
      <c r="A144" s="2" t="s">
        <v>325</v>
      </c>
      <c r="B144" s="2" t="s">
        <v>324</v>
      </c>
    </row>
    <row r="145" spans="1:2" x14ac:dyDescent="0.3">
      <c r="A145" s="2" t="s">
        <v>327</v>
      </c>
      <c r="B145" s="2" t="s">
        <v>326</v>
      </c>
    </row>
    <row r="146" spans="1:2" x14ac:dyDescent="0.3">
      <c r="A146" s="2" t="s">
        <v>329</v>
      </c>
      <c r="B146" s="2" t="s">
        <v>328</v>
      </c>
    </row>
    <row r="147" spans="1:2" x14ac:dyDescent="0.3">
      <c r="A147" s="2" t="s">
        <v>331</v>
      </c>
      <c r="B147" s="2" t="s">
        <v>330</v>
      </c>
    </row>
    <row r="148" spans="1:2" x14ac:dyDescent="0.3">
      <c r="A148" s="2" t="s">
        <v>333</v>
      </c>
      <c r="B148" s="2" t="s">
        <v>332</v>
      </c>
    </row>
    <row r="149" spans="1:2" x14ac:dyDescent="0.3">
      <c r="A149" s="2" t="s">
        <v>335</v>
      </c>
      <c r="B149" s="2" t="s">
        <v>334</v>
      </c>
    </row>
    <row r="150" spans="1:2" x14ac:dyDescent="0.3">
      <c r="A150" s="2" t="s">
        <v>337</v>
      </c>
      <c r="B150" s="2" t="s">
        <v>336</v>
      </c>
    </row>
    <row r="151" spans="1:2" x14ac:dyDescent="0.3">
      <c r="A151" s="2" t="s">
        <v>339</v>
      </c>
      <c r="B151" s="2" t="s">
        <v>338</v>
      </c>
    </row>
    <row r="152" spans="1:2" x14ac:dyDescent="0.3">
      <c r="A152" s="2" t="s">
        <v>341</v>
      </c>
      <c r="B152" s="2" t="s">
        <v>340</v>
      </c>
    </row>
    <row r="153" spans="1:2" x14ac:dyDescent="0.3">
      <c r="A153" s="2" t="s">
        <v>342</v>
      </c>
      <c r="B153" s="2" t="s">
        <v>136</v>
      </c>
    </row>
    <row r="154" spans="1:2" x14ac:dyDescent="0.3">
      <c r="A154" s="2" t="s">
        <v>344</v>
      </c>
      <c r="B154" s="2" t="s">
        <v>343</v>
      </c>
    </row>
    <row r="155" spans="1:2" x14ac:dyDescent="0.3">
      <c r="A155" s="2" t="s">
        <v>346</v>
      </c>
      <c r="B155" s="2" t="s">
        <v>345</v>
      </c>
    </row>
    <row r="156" spans="1:2" x14ac:dyDescent="0.3">
      <c r="A156" s="2" t="s">
        <v>348</v>
      </c>
      <c r="B156" s="2" t="s">
        <v>347</v>
      </c>
    </row>
    <row r="157" spans="1:2" x14ac:dyDescent="0.3">
      <c r="A157" s="2" t="s">
        <v>350</v>
      </c>
      <c r="B157" s="2" t="s">
        <v>349</v>
      </c>
    </row>
    <row r="158" spans="1:2" x14ac:dyDescent="0.3">
      <c r="A158" s="2" t="s">
        <v>352</v>
      </c>
      <c r="B158" s="2" t="s">
        <v>351</v>
      </c>
    </row>
    <row r="159" spans="1:2" x14ac:dyDescent="0.3">
      <c r="A159" s="2" t="s">
        <v>353</v>
      </c>
      <c r="B159" s="2" t="s">
        <v>611</v>
      </c>
    </row>
    <row r="160" spans="1:2" x14ac:dyDescent="0.3">
      <c r="A160" s="2" t="s">
        <v>355</v>
      </c>
      <c r="B160" s="2" t="s">
        <v>354</v>
      </c>
    </row>
    <row r="161" spans="1:2" x14ac:dyDescent="0.3">
      <c r="A161" s="2" t="s">
        <v>357</v>
      </c>
      <c r="B161" s="2" t="s">
        <v>356</v>
      </c>
    </row>
    <row r="162" spans="1:2" x14ac:dyDescent="0.3">
      <c r="A162" s="2" t="s">
        <v>359</v>
      </c>
      <c r="B162" s="2" t="s">
        <v>358</v>
      </c>
    </row>
    <row r="163" spans="1:2" x14ac:dyDescent="0.3">
      <c r="A163" s="2" t="s">
        <v>361</v>
      </c>
      <c r="B163" s="2" t="s">
        <v>360</v>
      </c>
    </row>
    <row r="164" spans="1:2" x14ac:dyDescent="0.3">
      <c r="A164" s="2" t="s">
        <v>363</v>
      </c>
      <c r="B164" s="2" t="s">
        <v>362</v>
      </c>
    </row>
    <row r="165" spans="1:2" x14ac:dyDescent="0.3">
      <c r="A165" s="2" t="s">
        <v>365</v>
      </c>
      <c r="B165" s="2" t="s">
        <v>364</v>
      </c>
    </row>
    <row r="166" spans="1:2" x14ac:dyDescent="0.3">
      <c r="A166" s="2" t="s">
        <v>367</v>
      </c>
      <c r="B166" s="2" t="s">
        <v>366</v>
      </c>
    </row>
    <row r="167" spans="1:2" x14ac:dyDescent="0.3">
      <c r="A167" s="2" t="s">
        <v>369</v>
      </c>
      <c r="B167" s="2" t="s">
        <v>368</v>
      </c>
    </row>
    <row r="168" spans="1:2" x14ac:dyDescent="0.3">
      <c r="A168" s="2" t="s">
        <v>371</v>
      </c>
      <c r="B168" s="2" t="s">
        <v>370</v>
      </c>
    </row>
    <row r="169" spans="1:2" x14ac:dyDescent="0.3">
      <c r="A169" s="2" t="s">
        <v>373</v>
      </c>
      <c r="B169" s="2" t="s">
        <v>372</v>
      </c>
    </row>
    <row r="170" spans="1:2" x14ac:dyDescent="0.3">
      <c r="A170" s="2" t="s">
        <v>375</v>
      </c>
      <c r="B170" s="2" t="s">
        <v>374</v>
      </c>
    </row>
    <row r="171" spans="1:2" x14ac:dyDescent="0.3">
      <c r="A171" s="2" t="s">
        <v>377</v>
      </c>
      <c r="B171" s="2" t="s">
        <v>376</v>
      </c>
    </row>
    <row r="172" spans="1:2" x14ac:dyDescent="0.3">
      <c r="A172" s="2" t="s">
        <v>379</v>
      </c>
      <c r="B172" s="2" t="s">
        <v>378</v>
      </c>
    </row>
    <row r="173" spans="1:2" x14ac:dyDescent="0.3">
      <c r="A173" s="2" t="s">
        <v>381</v>
      </c>
      <c r="B173" s="2" t="s">
        <v>380</v>
      </c>
    </row>
    <row r="174" spans="1:2" x14ac:dyDescent="0.3">
      <c r="A174" s="2" t="s">
        <v>383</v>
      </c>
      <c r="B174" s="2" t="s">
        <v>382</v>
      </c>
    </row>
    <row r="175" spans="1:2" x14ac:dyDescent="0.3">
      <c r="A175" s="2" t="s">
        <v>385</v>
      </c>
      <c r="B175" s="2" t="s">
        <v>384</v>
      </c>
    </row>
    <row r="176" spans="1:2" x14ac:dyDescent="0.3">
      <c r="A176" s="2" t="s">
        <v>387</v>
      </c>
      <c r="B176" s="2" t="s">
        <v>386</v>
      </c>
    </row>
    <row r="177" spans="1:2" x14ac:dyDescent="0.3">
      <c r="A177" s="2" t="s">
        <v>389</v>
      </c>
      <c r="B177" s="2" t="s">
        <v>388</v>
      </c>
    </row>
    <row r="178" spans="1:2" x14ac:dyDescent="0.3">
      <c r="A178" s="2" t="s">
        <v>391</v>
      </c>
      <c r="B178" s="2" t="s">
        <v>390</v>
      </c>
    </row>
    <row r="179" spans="1:2" x14ac:dyDescent="0.3">
      <c r="A179" s="2" t="s">
        <v>393</v>
      </c>
      <c r="B179" s="2" t="s">
        <v>392</v>
      </c>
    </row>
    <row r="180" spans="1:2" x14ac:dyDescent="0.3">
      <c r="A180" s="2" t="s">
        <v>395</v>
      </c>
      <c r="B180" s="2" t="s">
        <v>394</v>
      </c>
    </row>
    <row r="181" spans="1:2" x14ac:dyDescent="0.3">
      <c r="A181" s="2" t="s">
        <v>397</v>
      </c>
      <c r="B181" s="2" t="s">
        <v>396</v>
      </c>
    </row>
    <row r="182" spans="1:2" x14ac:dyDescent="0.3">
      <c r="A182" s="2" t="s">
        <v>399</v>
      </c>
      <c r="B182" s="2" t="s">
        <v>398</v>
      </c>
    </row>
    <row r="183" spans="1:2" x14ac:dyDescent="0.3">
      <c r="A183" s="2" t="s">
        <v>401</v>
      </c>
      <c r="B183" s="2" t="s">
        <v>400</v>
      </c>
    </row>
    <row r="184" spans="1:2" x14ac:dyDescent="0.3">
      <c r="A184" s="2" t="s">
        <v>403</v>
      </c>
      <c r="B184" s="2" t="s">
        <v>402</v>
      </c>
    </row>
    <row r="185" spans="1:2" x14ac:dyDescent="0.3">
      <c r="A185" s="2" t="s">
        <v>405</v>
      </c>
      <c r="B185" s="2" t="s">
        <v>404</v>
      </c>
    </row>
    <row r="186" spans="1:2" x14ac:dyDescent="0.3">
      <c r="A186" s="2" t="s">
        <v>407</v>
      </c>
      <c r="B186" s="2" t="s">
        <v>406</v>
      </c>
    </row>
    <row r="187" spans="1:2" x14ac:dyDescent="0.3">
      <c r="A187" s="2" t="s">
        <v>409</v>
      </c>
      <c r="B187" s="2" t="s">
        <v>408</v>
      </c>
    </row>
    <row r="188" spans="1:2" x14ac:dyDescent="0.3">
      <c r="A188" s="2" t="s">
        <v>411</v>
      </c>
      <c r="B188" s="2" t="s">
        <v>410</v>
      </c>
    </row>
    <row r="189" spans="1:2" x14ac:dyDescent="0.3">
      <c r="A189" s="2" t="s">
        <v>413</v>
      </c>
      <c r="B189" s="2" t="s">
        <v>412</v>
      </c>
    </row>
    <row r="190" spans="1:2" x14ac:dyDescent="0.3">
      <c r="A190" s="2" t="s">
        <v>415</v>
      </c>
      <c r="B190" s="2" t="s">
        <v>414</v>
      </c>
    </row>
    <row r="191" spans="1:2" x14ac:dyDescent="0.3">
      <c r="A191" s="2" t="s">
        <v>417</v>
      </c>
      <c r="B191" s="2" t="s">
        <v>416</v>
      </c>
    </row>
    <row r="192" spans="1:2" x14ac:dyDescent="0.3">
      <c r="A192" s="2" t="s">
        <v>419</v>
      </c>
      <c r="B192" s="2" t="s">
        <v>418</v>
      </c>
    </row>
    <row r="193" spans="1:2" x14ac:dyDescent="0.3">
      <c r="A193" s="2" t="s">
        <v>421</v>
      </c>
      <c r="B193" s="2" t="s">
        <v>420</v>
      </c>
    </row>
    <row r="194" spans="1:2" x14ac:dyDescent="0.3">
      <c r="A194" s="2" t="s">
        <v>423</v>
      </c>
      <c r="B194" s="2" t="s">
        <v>422</v>
      </c>
    </row>
    <row r="195" spans="1:2" x14ac:dyDescent="0.3">
      <c r="A195" s="2" t="s">
        <v>425</v>
      </c>
      <c r="B195" s="2" t="s">
        <v>424</v>
      </c>
    </row>
    <row r="196" spans="1:2" x14ac:dyDescent="0.3">
      <c r="A196" s="2" t="s">
        <v>426</v>
      </c>
      <c r="B196" s="2" t="s">
        <v>130</v>
      </c>
    </row>
    <row r="197" spans="1:2" x14ac:dyDescent="0.3">
      <c r="A197" s="2" t="s">
        <v>428</v>
      </c>
      <c r="B197" s="2" t="s">
        <v>427</v>
      </c>
    </row>
    <row r="198" spans="1:2" x14ac:dyDescent="0.3">
      <c r="A198" s="2" t="s">
        <v>430</v>
      </c>
      <c r="B198" s="2" t="s">
        <v>429</v>
      </c>
    </row>
    <row r="199" spans="1:2" x14ac:dyDescent="0.3">
      <c r="A199" s="2" t="s">
        <v>432</v>
      </c>
      <c r="B199" s="2" t="s">
        <v>431</v>
      </c>
    </row>
    <row r="200" spans="1:2" x14ac:dyDescent="0.3">
      <c r="A200" s="2" t="s">
        <v>434</v>
      </c>
      <c r="B200" s="2" t="s">
        <v>433</v>
      </c>
    </row>
    <row r="201" spans="1:2" x14ac:dyDescent="0.3">
      <c r="A201" s="2" t="s">
        <v>436</v>
      </c>
      <c r="B201" s="2" t="s">
        <v>435</v>
      </c>
    </row>
    <row r="202" spans="1:2" x14ac:dyDescent="0.3">
      <c r="A202" s="2" t="s">
        <v>437</v>
      </c>
      <c r="B202" s="2" t="s">
        <v>134</v>
      </c>
    </row>
    <row r="203" spans="1:2" x14ac:dyDescent="0.3">
      <c r="A203" s="2" t="s">
        <v>439</v>
      </c>
      <c r="B203" s="2" t="s">
        <v>438</v>
      </c>
    </row>
    <row r="204" spans="1:2" x14ac:dyDescent="0.3">
      <c r="A204" s="2" t="s">
        <v>441</v>
      </c>
      <c r="B204" s="2" t="s">
        <v>440</v>
      </c>
    </row>
    <row r="205" spans="1:2" x14ac:dyDescent="0.3">
      <c r="A205" s="2" t="s">
        <v>443</v>
      </c>
      <c r="B205" s="2" t="s">
        <v>442</v>
      </c>
    </row>
    <row r="206" spans="1:2" x14ac:dyDescent="0.3">
      <c r="A206" s="2" t="s">
        <v>445</v>
      </c>
      <c r="B206" s="2" t="s">
        <v>444</v>
      </c>
    </row>
    <row r="207" spans="1:2" x14ac:dyDescent="0.3">
      <c r="A207" s="2" t="s">
        <v>447</v>
      </c>
      <c r="B207" s="2" t="s">
        <v>446</v>
      </c>
    </row>
    <row r="208" spans="1:2" x14ac:dyDescent="0.3">
      <c r="A208" s="2" t="s">
        <v>449</v>
      </c>
      <c r="B208" s="2" t="s">
        <v>448</v>
      </c>
    </row>
    <row r="209" spans="1:2" x14ac:dyDescent="0.3">
      <c r="A209" s="2" t="s">
        <v>451</v>
      </c>
      <c r="B209" s="2" t="s">
        <v>450</v>
      </c>
    </row>
    <row r="210" spans="1:2" x14ac:dyDescent="0.3">
      <c r="A210" s="2" t="s">
        <v>453</v>
      </c>
      <c r="B210" s="2" t="s">
        <v>452</v>
      </c>
    </row>
    <row r="211" spans="1:2" x14ac:dyDescent="0.3">
      <c r="A211" s="2" t="s">
        <v>455</v>
      </c>
      <c r="B211" s="2" t="s">
        <v>454</v>
      </c>
    </row>
    <row r="212" spans="1:2" x14ac:dyDescent="0.3">
      <c r="A212" s="2" t="s">
        <v>457</v>
      </c>
      <c r="B212" s="2" t="s">
        <v>456</v>
      </c>
    </row>
    <row r="213" spans="1:2" x14ac:dyDescent="0.3">
      <c r="A213" s="2" t="s">
        <v>459</v>
      </c>
      <c r="B213" s="2" t="s">
        <v>458</v>
      </c>
    </row>
    <row r="214" spans="1:2" x14ac:dyDescent="0.3">
      <c r="A214" s="2" t="s">
        <v>461</v>
      </c>
      <c r="B214" s="2" t="s">
        <v>460</v>
      </c>
    </row>
    <row r="215" spans="1:2" x14ac:dyDescent="0.3">
      <c r="A215" s="2" t="s">
        <v>463</v>
      </c>
      <c r="B215" s="2" t="s">
        <v>462</v>
      </c>
    </row>
    <row r="216" spans="1:2" x14ac:dyDescent="0.3">
      <c r="A216" s="2" t="s">
        <v>465</v>
      </c>
      <c r="B216" s="2" t="s">
        <v>464</v>
      </c>
    </row>
    <row r="217" spans="1:2" x14ac:dyDescent="0.3">
      <c r="A217" s="2" t="s">
        <v>467</v>
      </c>
      <c r="B217" s="2" t="s">
        <v>466</v>
      </c>
    </row>
    <row r="218" spans="1:2" x14ac:dyDescent="0.3">
      <c r="A218" s="2" t="s">
        <v>469</v>
      </c>
      <c r="B218" s="2" t="s">
        <v>468</v>
      </c>
    </row>
    <row r="219" spans="1:2" x14ac:dyDescent="0.3">
      <c r="A219" s="2" t="s">
        <v>471</v>
      </c>
      <c r="B219" s="2" t="s">
        <v>470</v>
      </c>
    </row>
    <row r="220" spans="1:2" x14ac:dyDescent="0.3">
      <c r="A220" s="2" t="s">
        <v>473</v>
      </c>
      <c r="B220" s="2" t="s">
        <v>472</v>
      </c>
    </row>
    <row r="221" spans="1:2" x14ac:dyDescent="0.3">
      <c r="A221" s="2" t="s">
        <v>475</v>
      </c>
      <c r="B221" s="2" t="s">
        <v>474</v>
      </c>
    </row>
    <row r="222" spans="1:2" x14ac:dyDescent="0.3">
      <c r="A222" s="2" t="s">
        <v>477</v>
      </c>
      <c r="B222" s="2" t="s">
        <v>476</v>
      </c>
    </row>
    <row r="223" spans="1:2" x14ac:dyDescent="0.3">
      <c r="A223" s="2" t="s">
        <v>479</v>
      </c>
      <c r="B223" s="2" t="s">
        <v>478</v>
      </c>
    </row>
    <row r="224" spans="1:2" x14ac:dyDescent="0.3">
      <c r="A224" s="2" t="s">
        <v>481</v>
      </c>
      <c r="B224" s="2" t="s">
        <v>480</v>
      </c>
    </row>
    <row r="225" spans="1:2" x14ac:dyDescent="0.3">
      <c r="A225" s="2" t="s">
        <v>483</v>
      </c>
      <c r="B225" s="2" t="s">
        <v>482</v>
      </c>
    </row>
    <row r="226" spans="1:2" x14ac:dyDescent="0.3">
      <c r="A226" s="2" t="s">
        <v>485</v>
      </c>
      <c r="B226" s="2" t="s">
        <v>484</v>
      </c>
    </row>
    <row r="227" spans="1:2" x14ac:dyDescent="0.3">
      <c r="A227" s="2" t="s">
        <v>487</v>
      </c>
      <c r="B227" s="2" t="s">
        <v>486</v>
      </c>
    </row>
    <row r="228" spans="1:2" x14ac:dyDescent="0.3">
      <c r="A228" s="2" t="s">
        <v>489</v>
      </c>
      <c r="B228" s="2" t="s">
        <v>488</v>
      </c>
    </row>
    <row r="229" spans="1:2" x14ac:dyDescent="0.3">
      <c r="A229" s="2" t="s">
        <v>491</v>
      </c>
      <c r="B229" s="2" t="s">
        <v>490</v>
      </c>
    </row>
    <row r="230" spans="1:2" x14ac:dyDescent="0.3">
      <c r="A230" s="2" t="s">
        <v>493</v>
      </c>
      <c r="B230" s="2" t="s">
        <v>492</v>
      </c>
    </row>
    <row r="231" spans="1:2" x14ac:dyDescent="0.3">
      <c r="A231" s="2" t="s">
        <v>495</v>
      </c>
      <c r="B231" s="2" t="s">
        <v>494</v>
      </c>
    </row>
    <row r="232" spans="1:2" x14ac:dyDescent="0.3">
      <c r="A232" s="2" t="s">
        <v>497</v>
      </c>
      <c r="B232" s="2" t="s">
        <v>496</v>
      </c>
    </row>
    <row r="233" spans="1:2" x14ac:dyDescent="0.3">
      <c r="A233" s="2" t="s">
        <v>499</v>
      </c>
      <c r="B233" s="2" t="s">
        <v>498</v>
      </c>
    </row>
    <row r="234" spans="1:2" x14ac:dyDescent="0.3">
      <c r="A234" s="2" t="s">
        <v>501</v>
      </c>
      <c r="B234" s="2" t="s">
        <v>500</v>
      </c>
    </row>
    <row r="235" spans="1:2" x14ac:dyDescent="0.3">
      <c r="A235" s="2" t="s">
        <v>503</v>
      </c>
      <c r="B235" s="2" t="s">
        <v>502</v>
      </c>
    </row>
    <row r="236" spans="1:2" x14ac:dyDescent="0.3">
      <c r="A236" s="2" t="s">
        <v>505</v>
      </c>
      <c r="B236" s="2" t="s">
        <v>504</v>
      </c>
    </row>
    <row r="237" spans="1:2" x14ac:dyDescent="0.3">
      <c r="A237" s="2" t="s">
        <v>507</v>
      </c>
      <c r="B237" s="2" t="s">
        <v>506</v>
      </c>
    </row>
    <row r="238" spans="1:2" x14ac:dyDescent="0.3">
      <c r="A238" s="2" t="s">
        <v>509</v>
      </c>
      <c r="B238" s="2" t="s">
        <v>508</v>
      </c>
    </row>
    <row r="239" spans="1:2" x14ac:dyDescent="0.3">
      <c r="A239" s="2" t="s">
        <v>511</v>
      </c>
      <c r="B239" s="2" t="s">
        <v>510</v>
      </c>
    </row>
    <row r="240" spans="1:2" x14ac:dyDescent="0.3">
      <c r="A240" s="2" t="s">
        <v>513</v>
      </c>
      <c r="B240" s="2" t="s">
        <v>512</v>
      </c>
    </row>
    <row r="241" spans="1:2" x14ac:dyDescent="0.3">
      <c r="A241" s="2" t="s">
        <v>515</v>
      </c>
      <c r="B241" s="2" t="s">
        <v>514</v>
      </c>
    </row>
    <row r="242" spans="1:2" x14ac:dyDescent="0.3">
      <c r="A242" s="2" t="s">
        <v>517</v>
      </c>
      <c r="B242" s="2" t="s">
        <v>516</v>
      </c>
    </row>
    <row r="243" spans="1:2" x14ac:dyDescent="0.3">
      <c r="A243" s="2" t="s">
        <v>519</v>
      </c>
      <c r="B243" s="2" t="s">
        <v>518</v>
      </c>
    </row>
    <row r="244" spans="1:2" x14ac:dyDescent="0.3">
      <c r="A244" s="2" t="s">
        <v>520</v>
      </c>
      <c r="B244" s="2" t="s">
        <v>135</v>
      </c>
    </row>
    <row r="245" spans="1:2" x14ac:dyDescent="0.3">
      <c r="A245" s="2" t="s">
        <v>521</v>
      </c>
      <c r="B245" s="2" t="s">
        <v>133</v>
      </c>
    </row>
    <row r="246" spans="1:2" x14ac:dyDescent="0.3">
      <c r="A246" s="2" t="s">
        <v>523</v>
      </c>
      <c r="B246" s="2" t="s">
        <v>522</v>
      </c>
    </row>
    <row r="247" spans="1:2" x14ac:dyDescent="0.3">
      <c r="A247" s="2" t="s">
        <v>525</v>
      </c>
      <c r="B247" s="2" t="s">
        <v>524</v>
      </c>
    </row>
    <row r="248" spans="1:2" x14ac:dyDescent="0.3">
      <c r="A248" s="2" t="s">
        <v>527</v>
      </c>
      <c r="B248" s="2" t="s">
        <v>526</v>
      </c>
    </row>
    <row r="249" spans="1:2" x14ac:dyDescent="0.3">
      <c r="A249" s="2" t="s">
        <v>529</v>
      </c>
      <c r="B249" s="2" t="s">
        <v>528</v>
      </c>
    </row>
    <row r="250" spans="1:2" x14ac:dyDescent="0.3">
      <c r="A250" s="2" t="s">
        <v>531</v>
      </c>
      <c r="B250" s="2" t="s">
        <v>530</v>
      </c>
    </row>
    <row r="251" spans="1:2" x14ac:dyDescent="0.3">
      <c r="A251" s="2" t="s">
        <v>533</v>
      </c>
      <c r="B251" s="2" t="s">
        <v>532</v>
      </c>
    </row>
    <row r="252" spans="1:2" x14ac:dyDescent="0.3">
      <c r="A252" s="2" t="s">
        <v>535</v>
      </c>
      <c r="B252" s="2" t="s">
        <v>534</v>
      </c>
    </row>
    <row r="253" spans="1:2" x14ac:dyDescent="0.3">
      <c r="A253" s="2" t="s">
        <v>537</v>
      </c>
      <c r="B253" s="2" t="s">
        <v>536</v>
      </c>
    </row>
    <row r="254" spans="1:2" x14ac:dyDescent="0.3">
      <c r="A254" s="2" t="s">
        <v>539</v>
      </c>
      <c r="B254" s="2" t="s">
        <v>538</v>
      </c>
    </row>
    <row r="255" spans="1:2" x14ac:dyDescent="0.3">
      <c r="A255" s="2" t="s">
        <v>541</v>
      </c>
      <c r="B255" s="2" t="s">
        <v>540</v>
      </c>
    </row>
    <row r="256" spans="1:2" x14ac:dyDescent="0.3">
      <c r="A256" s="2" t="s">
        <v>543</v>
      </c>
      <c r="B256" s="2" t="s">
        <v>542</v>
      </c>
    </row>
    <row r="257" spans="1:2" x14ac:dyDescent="0.3">
      <c r="A257" s="2" t="s">
        <v>545</v>
      </c>
      <c r="B257" s="2" t="s">
        <v>544</v>
      </c>
    </row>
    <row r="258" spans="1:2" x14ac:dyDescent="0.3">
      <c r="A258" s="2" t="s">
        <v>547</v>
      </c>
      <c r="B258" s="2" t="s">
        <v>546</v>
      </c>
    </row>
    <row r="259" spans="1:2" x14ac:dyDescent="0.3">
      <c r="A259" s="2" t="s">
        <v>549</v>
      </c>
      <c r="B259" s="2" t="s">
        <v>548</v>
      </c>
    </row>
    <row r="260" spans="1:2" x14ac:dyDescent="0.3">
      <c r="A260" s="2" t="s">
        <v>551</v>
      </c>
      <c r="B260" s="2" t="s">
        <v>550</v>
      </c>
    </row>
    <row r="261" spans="1:2" x14ac:dyDescent="0.3">
      <c r="A261" s="2" t="s">
        <v>553</v>
      </c>
      <c r="B261" s="2" t="s">
        <v>552</v>
      </c>
    </row>
    <row r="262" spans="1:2" x14ac:dyDescent="0.3">
      <c r="A262" s="2" t="s">
        <v>554</v>
      </c>
      <c r="B262" s="2" t="s">
        <v>128</v>
      </c>
    </row>
    <row r="263" spans="1:2" x14ac:dyDescent="0.3">
      <c r="A263" s="2" t="s">
        <v>555</v>
      </c>
      <c r="B263" s="2" t="s">
        <v>131</v>
      </c>
    </row>
    <row r="264" spans="1:2" x14ac:dyDescent="0.3">
      <c r="A264" s="2" t="s">
        <v>557</v>
      </c>
      <c r="B264" s="2" t="s">
        <v>556</v>
      </c>
    </row>
    <row r="265" spans="1:2" x14ac:dyDescent="0.3">
      <c r="A265" s="2" t="s">
        <v>559</v>
      </c>
      <c r="B265" s="2" t="s">
        <v>558</v>
      </c>
    </row>
    <row r="266" spans="1:2" x14ac:dyDescent="0.3">
      <c r="A266" s="2" t="s">
        <v>561</v>
      </c>
      <c r="B266" s="2" t="s">
        <v>560</v>
      </c>
    </row>
    <row r="267" spans="1:2" x14ac:dyDescent="0.3">
      <c r="A267" s="2" t="s">
        <v>563</v>
      </c>
      <c r="B267" s="2" t="s">
        <v>562</v>
      </c>
    </row>
    <row r="268" spans="1:2" x14ac:dyDescent="0.3">
      <c r="A268" s="2" t="s">
        <v>565</v>
      </c>
      <c r="B268" s="2" t="s">
        <v>564</v>
      </c>
    </row>
    <row r="269" spans="1:2" x14ac:dyDescent="0.3">
      <c r="A269" s="2" t="s">
        <v>199</v>
      </c>
      <c r="B269" s="2" t="s">
        <v>566</v>
      </c>
    </row>
    <row r="270" spans="1:2" x14ac:dyDescent="0.3">
      <c r="A270" s="2" t="s">
        <v>568</v>
      </c>
      <c r="B270" s="2" t="s">
        <v>567</v>
      </c>
    </row>
    <row r="271" spans="1:2" x14ac:dyDescent="0.3">
      <c r="A271" s="2" t="s">
        <v>570</v>
      </c>
      <c r="B271" s="2" t="s">
        <v>569</v>
      </c>
    </row>
    <row r="272" spans="1:2" x14ac:dyDescent="0.3">
      <c r="A272" s="2" t="s">
        <v>572</v>
      </c>
      <c r="B272" s="2" t="s">
        <v>571</v>
      </c>
    </row>
    <row r="273" spans="1:2" x14ac:dyDescent="0.3">
      <c r="A273" s="2" t="s">
        <v>574</v>
      </c>
      <c r="B273" s="2" t="s">
        <v>573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0000"/>
  </sheetPr>
  <dimension ref="A1:C245"/>
  <sheetViews>
    <sheetView topLeftCell="A106" workbookViewId="0">
      <selection activeCell="B122" sqref="B122:B131"/>
    </sheetView>
  </sheetViews>
  <sheetFormatPr defaultRowHeight="10.15" x14ac:dyDescent="0.3"/>
  <cols>
    <col min="1" max="16384" width="9.06640625" style="2"/>
  </cols>
  <sheetData>
    <row r="1" spans="1:2" x14ac:dyDescent="0.3">
      <c r="A1" s="3" t="s">
        <v>575</v>
      </c>
      <c r="B1" s="3" t="s">
        <v>119</v>
      </c>
    </row>
    <row r="2" spans="1:2" x14ac:dyDescent="0.3">
      <c r="A2" s="7" t="s">
        <v>1</v>
      </c>
      <c r="B2" s="7" t="s">
        <v>1</v>
      </c>
    </row>
    <row r="3" spans="1:2" x14ac:dyDescent="0.3">
      <c r="A3" s="7" t="s">
        <v>3</v>
      </c>
      <c r="B3" s="7" t="s">
        <v>3</v>
      </c>
    </row>
    <row r="4" spans="1:2" x14ac:dyDescent="0.3">
      <c r="A4" s="7" t="s">
        <v>5</v>
      </c>
      <c r="B4" s="7" t="s">
        <v>5</v>
      </c>
    </row>
    <row r="5" spans="1:2" x14ac:dyDescent="0.3">
      <c r="A5" s="7" t="s">
        <v>7</v>
      </c>
      <c r="B5" s="7" t="s">
        <v>7</v>
      </c>
    </row>
    <row r="6" spans="1:2" x14ac:dyDescent="0.3">
      <c r="A6" s="7" t="s">
        <v>124</v>
      </c>
      <c r="B6" s="7" t="s">
        <v>124</v>
      </c>
    </row>
    <row r="7" spans="1:2" x14ac:dyDescent="0.3">
      <c r="A7" s="7" t="s">
        <v>10</v>
      </c>
      <c r="B7" s="7" t="s">
        <v>10</v>
      </c>
    </row>
    <row r="8" spans="1:2" x14ac:dyDescent="0.3">
      <c r="A8" s="7" t="s">
        <v>12</v>
      </c>
      <c r="B8" s="7" t="s">
        <v>12</v>
      </c>
    </row>
    <row r="9" spans="1:2" x14ac:dyDescent="0.3">
      <c r="A9" s="7" t="s">
        <v>14</v>
      </c>
      <c r="B9" s="7" t="s">
        <v>14</v>
      </c>
    </row>
    <row r="10" spans="1:2" x14ac:dyDescent="0.3">
      <c r="A10" s="7" t="s">
        <v>16</v>
      </c>
      <c r="B10" s="7" t="s">
        <v>16</v>
      </c>
    </row>
    <row r="11" spans="1:2" x14ac:dyDescent="0.3">
      <c r="A11" s="7" t="s">
        <v>18</v>
      </c>
      <c r="B11" s="7" t="s">
        <v>18</v>
      </c>
    </row>
    <row r="12" spans="1:2" x14ac:dyDescent="0.3">
      <c r="A12" s="7" t="s">
        <v>20</v>
      </c>
      <c r="B12" s="7" t="s">
        <v>20</v>
      </c>
    </row>
    <row r="13" spans="1:2" x14ac:dyDescent="0.3">
      <c r="A13" s="7" t="s">
        <v>22</v>
      </c>
      <c r="B13" s="7" t="s">
        <v>22</v>
      </c>
    </row>
    <row r="14" spans="1:2" x14ac:dyDescent="0.3">
      <c r="A14" s="7" t="s">
        <v>24</v>
      </c>
      <c r="B14" s="7" t="s">
        <v>24</v>
      </c>
    </row>
    <row r="15" spans="1:2" x14ac:dyDescent="0.3">
      <c r="A15" s="7" t="s">
        <v>26</v>
      </c>
      <c r="B15" s="7" t="s">
        <v>26</v>
      </c>
    </row>
    <row r="16" spans="1:2" x14ac:dyDescent="0.3">
      <c r="A16" s="7" t="s">
        <v>28</v>
      </c>
      <c r="B16" s="7" t="s">
        <v>28</v>
      </c>
    </row>
    <row r="17" spans="1:2" x14ac:dyDescent="0.3">
      <c r="A17" s="7" t="s">
        <v>30</v>
      </c>
      <c r="B17" s="7" t="s">
        <v>30</v>
      </c>
    </row>
    <row r="18" spans="1:2" x14ac:dyDescent="0.3">
      <c r="A18" s="7" t="s">
        <v>32</v>
      </c>
      <c r="B18" s="7" t="s">
        <v>32</v>
      </c>
    </row>
    <row r="19" spans="1:2" x14ac:dyDescent="0.3">
      <c r="A19" s="7" t="s">
        <v>34</v>
      </c>
      <c r="B19" s="7" t="s">
        <v>34</v>
      </c>
    </row>
    <row r="20" spans="1:2" x14ac:dyDescent="0.3">
      <c r="A20" s="7" t="s">
        <v>36</v>
      </c>
      <c r="B20" s="7" t="s">
        <v>36</v>
      </c>
    </row>
    <row r="21" spans="1:2" x14ac:dyDescent="0.3">
      <c r="A21" s="7" t="s">
        <v>38</v>
      </c>
      <c r="B21" s="7" t="s">
        <v>38</v>
      </c>
    </row>
    <row r="22" spans="1:2" x14ac:dyDescent="0.3">
      <c r="A22" s="7" t="s">
        <v>40</v>
      </c>
      <c r="B22" s="7" t="s">
        <v>40</v>
      </c>
    </row>
    <row r="23" spans="1:2" x14ac:dyDescent="0.3">
      <c r="A23" s="7" t="s">
        <v>42</v>
      </c>
      <c r="B23" s="7" t="s">
        <v>42</v>
      </c>
    </row>
    <row r="24" spans="1:2" x14ac:dyDescent="0.3">
      <c r="A24" s="7" t="s">
        <v>44</v>
      </c>
      <c r="B24" s="7" t="s">
        <v>44</v>
      </c>
    </row>
    <row r="25" spans="1:2" x14ac:dyDescent="0.3">
      <c r="A25" s="7" t="s">
        <v>46</v>
      </c>
      <c r="B25" s="7" t="s">
        <v>46</v>
      </c>
    </row>
    <row r="26" spans="1:2" x14ac:dyDescent="0.3">
      <c r="A26" s="7" t="s">
        <v>48</v>
      </c>
      <c r="B26" s="7" t="s">
        <v>48</v>
      </c>
    </row>
    <row r="27" spans="1:2" x14ac:dyDescent="0.3">
      <c r="A27" s="7" t="s">
        <v>50</v>
      </c>
      <c r="B27" s="7" t="s">
        <v>50</v>
      </c>
    </row>
    <row r="28" spans="1:2" x14ac:dyDescent="0.3">
      <c r="A28" s="7" t="s">
        <v>52</v>
      </c>
      <c r="B28" s="7" t="s">
        <v>52</v>
      </c>
    </row>
    <row r="29" spans="1:2" x14ac:dyDescent="0.3">
      <c r="A29" s="7" t="s">
        <v>54</v>
      </c>
      <c r="B29" s="7" t="s">
        <v>54</v>
      </c>
    </row>
    <row r="30" spans="1:2" x14ac:dyDescent="0.3">
      <c r="A30" s="7" t="s">
        <v>56</v>
      </c>
      <c r="B30" s="7" t="s">
        <v>56</v>
      </c>
    </row>
    <row r="31" spans="1:2" x14ac:dyDescent="0.3">
      <c r="A31" s="7" t="s">
        <v>58</v>
      </c>
      <c r="B31" s="7" t="s">
        <v>58</v>
      </c>
    </row>
    <row r="32" spans="1:2" x14ac:dyDescent="0.3">
      <c r="A32" s="7" t="s">
        <v>60</v>
      </c>
      <c r="B32" s="7" t="s">
        <v>60</v>
      </c>
    </row>
    <row r="33" spans="1:2" x14ac:dyDescent="0.3">
      <c r="A33" s="7" t="s">
        <v>62</v>
      </c>
      <c r="B33" s="7" t="s">
        <v>62</v>
      </c>
    </row>
    <row r="34" spans="1:2" x14ac:dyDescent="0.3">
      <c r="A34" s="7" t="s">
        <v>64</v>
      </c>
      <c r="B34" s="7" t="s">
        <v>64</v>
      </c>
    </row>
    <row r="35" spans="1:2" x14ac:dyDescent="0.3">
      <c r="A35" s="7" t="s">
        <v>66</v>
      </c>
      <c r="B35" s="7" t="s">
        <v>66</v>
      </c>
    </row>
    <row r="36" spans="1:2" x14ac:dyDescent="0.3">
      <c r="A36" s="7" t="s">
        <v>68</v>
      </c>
      <c r="B36" s="7" t="s">
        <v>68</v>
      </c>
    </row>
    <row r="37" spans="1:2" x14ac:dyDescent="0.3">
      <c r="A37" s="7" t="s">
        <v>70</v>
      </c>
      <c r="B37" s="7" t="s">
        <v>70</v>
      </c>
    </row>
    <row r="38" spans="1:2" x14ac:dyDescent="0.3">
      <c r="A38" s="7" t="s">
        <v>72</v>
      </c>
      <c r="B38" s="7" t="s">
        <v>72</v>
      </c>
    </row>
    <row r="39" spans="1:2" x14ac:dyDescent="0.3">
      <c r="A39" s="7" t="s">
        <v>74</v>
      </c>
      <c r="B39" s="7" t="s">
        <v>74</v>
      </c>
    </row>
    <row r="40" spans="1:2" x14ac:dyDescent="0.3">
      <c r="A40" s="7" t="s">
        <v>76</v>
      </c>
      <c r="B40" s="7" t="s">
        <v>76</v>
      </c>
    </row>
    <row r="41" spans="1:2" x14ac:dyDescent="0.3">
      <c r="A41" s="7" t="s">
        <v>78</v>
      </c>
      <c r="B41" s="7" t="s">
        <v>78</v>
      </c>
    </row>
    <row r="42" spans="1:2" x14ac:dyDescent="0.3">
      <c r="A42" s="7" t="s">
        <v>80</v>
      </c>
      <c r="B42" s="7" t="s">
        <v>80</v>
      </c>
    </row>
    <row r="43" spans="1:2" x14ac:dyDescent="0.3">
      <c r="A43" s="7" t="s">
        <v>82</v>
      </c>
      <c r="B43" s="7" t="s">
        <v>82</v>
      </c>
    </row>
    <row r="44" spans="1:2" x14ac:dyDescent="0.3">
      <c r="A44" s="7" t="s">
        <v>84</v>
      </c>
      <c r="B44" s="7" t="s">
        <v>84</v>
      </c>
    </row>
    <row r="45" spans="1:2" x14ac:dyDescent="0.3">
      <c r="A45" s="7" t="s">
        <v>86</v>
      </c>
      <c r="B45" s="7" t="s">
        <v>86</v>
      </c>
    </row>
    <row r="46" spans="1:2" x14ac:dyDescent="0.3">
      <c r="A46" s="7" t="s">
        <v>88</v>
      </c>
      <c r="B46" s="7" t="s">
        <v>88</v>
      </c>
    </row>
    <row r="47" spans="1:2" x14ac:dyDescent="0.3">
      <c r="A47" s="7" t="s">
        <v>90</v>
      </c>
      <c r="B47" s="7" t="s">
        <v>90</v>
      </c>
    </row>
    <row r="48" spans="1:2" x14ac:dyDescent="0.3">
      <c r="A48" s="7" t="s">
        <v>92</v>
      </c>
      <c r="B48" s="7" t="s">
        <v>92</v>
      </c>
    </row>
    <row r="49" spans="1:2" x14ac:dyDescent="0.3">
      <c r="A49" s="7" t="s">
        <v>94</v>
      </c>
      <c r="B49" s="7" t="s">
        <v>94</v>
      </c>
    </row>
    <row r="50" spans="1:2" x14ac:dyDescent="0.3">
      <c r="A50" s="7" t="s">
        <v>96</v>
      </c>
      <c r="B50" s="7" t="s">
        <v>96</v>
      </c>
    </row>
    <row r="51" spans="1:2" x14ac:dyDescent="0.3">
      <c r="A51" s="7" t="s">
        <v>98</v>
      </c>
      <c r="B51" s="7" t="s">
        <v>98</v>
      </c>
    </row>
    <row r="52" spans="1:2" x14ac:dyDescent="0.3">
      <c r="A52" s="7" t="s">
        <v>127</v>
      </c>
      <c r="B52" s="7" t="s">
        <v>127</v>
      </c>
    </row>
    <row r="53" spans="1:2" x14ac:dyDescent="0.3">
      <c r="A53" s="7" t="s">
        <v>128</v>
      </c>
      <c r="B53" s="7" t="s">
        <v>128</v>
      </c>
    </row>
    <row r="54" spans="1:2" x14ac:dyDescent="0.3">
      <c r="A54" s="7" t="s">
        <v>129</v>
      </c>
      <c r="B54" s="7" t="s">
        <v>129</v>
      </c>
    </row>
    <row r="55" spans="1:2" x14ac:dyDescent="0.3">
      <c r="A55" s="7" t="s">
        <v>130</v>
      </c>
      <c r="B55" s="7" t="s">
        <v>130</v>
      </c>
    </row>
    <row r="56" spans="1:2" x14ac:dyDescent="0.3">
      <c r="A56" s="7" t="s">
        <v>131</v>
      </c>
      <c r="B56" s="7" t="s">
        <v>131</v>
      </c>
    </row>
    <row r="57" spans="1:2" x14ac:dyDescent="0.3">
      <c r="A57" s="7" t="s">
        <v>132</v>
      </c>
      <c r="B57" s="7" t="s">
        <v>132</v>
      </c>
    </row>
    <row r="58" spans="1:2" x14ac:dyDescent="0.3">
      <c r="A58" s="7" t="s">
        <v>133</v>
      </c>
      <c r="B58" s="7" t="s">
        <v>133</v>
      </c>
    </row>
    <row r="59" spans="1:2" x14ac:dyDescent="0.3">
      <c r="A59" s="7" t="s">
        <v>134</v>
      </c>
      <c r="B59" s="7" t="s">
        <v>134</v>
      </c>
    </row>
    <row r="60" spans="1:2" x14ac:dyDescent="0.3">
      <c r="A60" s="7" t="s">
        <v>135</v>
      </c>
      <c r="B60" s="7" t="s">
        <v>135</v>
      </c>
    </row>
    <row r="61" spans="1:2" x14ac:dyDescent="0.3">
      <c r="A61" s="7" t="s">
        <v>136</v>
      </c>
      <c r="B61" s="7" t="s">
        <v>136</v>
      </c>
    </row>
    <row r="62" spans="1:2" x14ac:dyDescent="0.3">
      <c r="A62" s="2" t="s">
        <v>576</v>
      </c>
      <c r="B62" s="2" t="s">
        <v>1</v>
      </c>
    </row>
    <row r="63" spans="1:2" x14ac:dyDescent="0.3">
      <c r="A63" s="2" t="s">
        <v>576</v>
      </c>
      <c r="B63" s="2" t="s">
        <v>3</v>
      </c>
    </row>
    <row r="64" spans="1:2" x14ac:dyDescent="0.3">
      <c r="A64" s="2" t="s">
        <v>576</v>
      </c>
      <c r="B64" s="2" t="s">
        <v>5</v>
      </c>
    </row>
    <row r="65" spans="1:2" x14ac:dyDescent="0.3">
      <c r="A65" s="2" t="s">
        <v>576</v>
      </c>
      <c r="B65" s="2" t="s">
        <v>7</v>
      </c>
    </row>
    <row r="66" spans="1:2" x14ac:dyDescent="0.3">
      <c r="A66" s="2" t="s">
        <v>576</v>
      </c>
      <c r="B66" s="2" t="s">
        <v>124</v>
      </c>
    </row>
    <row r="67" spans="1:2" x14ac:dyDescent="0.3">
      <c r="A67" s="2" t="s">
        <v>576</v>
      </c>
      <c r="B67" s="2" t="s">
        <v>10</v>
      </c>
    </row>
    <row r="68" spans="1:2" x14ac:dyDescent="0.3">
      <c r="A68" s="2" t="s">
        <v>576</v>
      </c>
      <c r="B68" s="2" t="s">
        <v>12</v>
      </c>
    </row>
    <row r="69" spans="1:2" x14ac:dyDescent="0.3">
      <c r="A69" s="2" t="s">
        <v>576</v>
      </c>
      <c r="B69" s="2" t="s">
        <v>14</v>
      </c>
    </row>
    <row r="70" spans="1:2" x14ac:dyDescent="0.3">
      <c r="A70" s="2" t="s">
        <v>576</v>
      </c>
      <c r="B70" s="2" t="s">
        <v>16</v>
      </c>
    </row>
    <row r="71" spans="1:2" x14ac:dyDescent="0.3">
      <c r="A71" s="2" t="s">
        <v>576</v>
      </c>
      <c r="B71" s="2" t="s">
        <v>18</v>
      </c>
    </row>
    <row r="72" spans="1:2" x14ac:dyDescent="0.3">
      <c r="A72" s="2" t="s">
        <v>576</v>
      </c>
      <c r="B72" s="2" t="s">
        <v>20</v>
      </c>
    </row>
    <row r="73" spans="1:2" x14ac:dyDescent="0.3">
      <c r="A73" s="2" t="s">
        <v>576</v>
      </c>
      <c r="B73" s="2" t="s">
        <v>22</v>
      </c>
    </row>
    <row r="74" spans="1:2" x14ac:dyDescent="0.3">
      <c r="A74" s="2" t="s">
        <v>576</v>
      </c>
      <c r="B74" s="2" t="s">
        <v>24</v>
      </c>
    </row>
    <row r="75" spans="1:2" x14ac:dyDescent="0.3">
      <c r="A75" s="2" t="s">
        <v>576</v>
      </c>
      <c r="B75" s="2" t="s">
        <v>26</v>
      </c>
    </row>
    <row r="76" spans="1:2" x14ac:dyDescent="0.3">
      <c r="A76" s="2" t="s">
        <v>576</v>
      </c>
      <c r="B76" s="2" t="s">
        <v>28</v>
      </c>
    </row>
    <row r="77" spans="1:2" x14ac:dyDescent="0.3">
      <c r="A77" s="2" t="s">
        <v>576</v>
      </c>
      <c r="B77" s="2" t="s">
        <v>30</v>
      </c>
    </row>
    <row r="78" spans="1:2" x14ac:dyDescent="0.3">
      <c r="A78" s="2" t="s">
        <v>576</v>
      </c>
      <c r="B78" s="2" t="s">
        <v>32</v>
      </c>
    </row>
    <row r="79" spans="1:2" x14ac:dyDescent="0.3">
      <c r="A79" s="2" t="s">
        <v>576</v>
      </c>
      <c r="B79" s="2" t="s">
        <v>34</v>
      </c>
    </row>
    <row r="80" spans="1:2" x14ac:dyDescent="0.3">
      <c r="A80" s="2" t="s">
        <v>576</v>
      </c>
      <c r="B80" s="2" t="s">
        <v>36</v>
      </c>
    </row>
    <row r="81" spans="1:2" x14ac:dyDescent="0.3">
      <c r="A81" s="2" t="s">
        <v>576</v>
      </c>
      <c r="B81" s="2" t="s">
        <v>38</v>
      </c>
    </row>
    <row r="82" spans="1:2" x14ac:dyDescent="0.3">
      <c r="A82" s="2" t="s">
        <v>576</v>
      </c>
      <c r="B82" s="2" t="s">
        <v>40</v>
      </c>
    </row>
    <row r="83" spans="1:2" x14ac:dyDescent="0.3">
      <c r="A83" s="2" t="s">
        <v>576</v>
      </c>
      <c r="B83" s="2" t="s">
        <v>42</v>
      </c>
    </row>
    <row r="84" spans="1:2" x14ac:dyDescent="0.3">
      <c r="A84" s="2" t="s">
        <v>576</v>
      </c>
      <c r="B84" s="2" t="s">
        <v>44</v>
      </c>
    </row>
    <row r="85" spans="1:2" x14ac:dyDescent="0.3">
      <c r="A85" s="2" t="s">
        <v>576</v>
      </c>
      <c r="B85" s="2" t="s">
        <v>46</v>
      </c>
    </row>
    <row r="86" spans="1:2" x14ac:dyDescent="0.3">
      <c r="A86" s="2" t="s">
        <v>576</v>
      </c>
      <c r="B86" s="2" t="s">
        <v>48</v>
      </c>
    </row>
    <row r="87" spans="1:2" x14ac:dyDescent="0.3">
      <c r="A87" s="2" t="s">
        <v>576</v>
      </c>
      <c r="B87" s="2" t="s">
        <v>50</v>
      </c>
    </row>
    <row r="88" spans="1:2" x14ac:dyDescent="0.3">
      <c r="A88" s="2" t="s">
        <v>576</v>
      </c>
      <c r="B88" s="2" t="s">
        <v>52</v>
      </c>
    </row>
    <row r="89" spans="1:2" x14ac:dyDescent="0.3">
      <c r="A89" s="2" t="s">
        <v>576</v>
      </c>
      <c r="B89" s="2" t="s">
        <v>54</v>
      </c>
    </row>
    <row r="90" spans="1:2" x14ac:dyDescent="0.3">
      <c r="A90" s="2" t="s">
        <v>576</v>
      </c>
      <c r="B90" s="2" t="s">
        <v>56</v>
      </c>
    </row>
    <row r="91" spans="1:2" x14ac:dyDescent="0.3">
      <c r="A91" s="2" t="s">
        <v>576</v>
      </c>
      <c r="B91" s="2" t="s">
        <v>58</v>
      </c>
    </row>
    <row r="92" spans="1:2" x14ac:dyDescent="0.3">
      <c r="A92" s="2" t="s">
        <v>576</v>
      </c>
      <c r="B92" s="2" t="s">
        <v>60</v>
      </c>
    </row>
    <row r="93" spans="1:2" x14ac:dyDescent="0.3">
      <c r="A93" s="2" t="s">
        <v>576</v>
      </c>
      <c r="B93" s="2" t="s">
        <v>62</v>
      </c>
    </row>
    <row r="94" spans="1:2" x14ac:dyDescent="0.3">
      <c r="A94" s="2" t="s">
        <v>576</v>
      </c>
      <c r="B94" s="2" t="s">
        <v>64</v>
      </c>
    </row>
    <row r="95" spans="1:2" x14ac:dyDescent="0.3">
      <c r="A95" s="2" t="s">
        <v>576</v>
      </c>
      <c r="B95" s="2" t="s">
        <v>66</v>
      </c>
    </row>
    <row r="96" spans="1:2" x14ac:dyDescent="0.3">
      <c r="A96" s="2" t="s">
        <v>576</v>
      </c>
      <c r="B96" s="2" t="s">
        <v>68</v>
      </c>
    </row>
    <row r="97" spans="1:2" x14ac:dyDescent="0.3">
      <c r="A97" s="2" t="s">
        <v>576</v>
      </c>
      <c r="B97" s="2" t="s">
        <v>70</v>
      </c>
    </row>
    <row r="98" spans="1:2" x14ac:dyDescent="0.3">
      <c r="A98" s="2" t="s">
        <v>576</v>
      </c>
      <c r="B98" s="2" t="s">
        <v>72</v>
      </c>
    </row>
    <row r="99" spans="1:2" x14ac:dyDescent="0.3">
      <c r="A99" s="2" t="s">
        <v>576</v>
      </c>
      <c r="B99" s="2" t="s">
        <v>74</v>
      </c>
    </row>
    <row r="100" spans="1:2" x14ac:dyDescent="0.3">
      <c r="A100" s="2" t="s">
        <v>576</v>
      </c>
      <c r="B100" s="2" t="s">
        <v>76</v>
      </c>
    </row>
    <row r="101" spans="1:2" x14ac:dyDescent="0.3">
      <c r="A101" s="2" t="s">
        <v>576</v>
      </c>
      <c r="B101" s="2" t="s">
        <v>78</v>
      </c>
    </row>
    <row r="102" spans="1:2" x14ac:dyDescent="0.3">
      <c r="A102" s="2" t="s">
        <v>576</v>
      </c>
      <c r="B102" s="2" t="s">
        <v>80</v>
      </c>
    </row>
    <row r="103" spans="1:2" x14ac:dyDescent="0.3">
      <c r="A103" s="2" t="s">
        <v>576</v>
      </c>
      <c r="B103" s="2" t="s">
        <v>82</v>
      </c>
    </row>
    <row r="104" spans="1:2" x14ac:dyDescent="0.3">
      <c r="A104" s="2" t="s">
        <v>576</v>
      </c>
      <c r="B104" s="2" t="s">
        <v>84</v>
      </c>
    </row>
    <row r="105" spans="1:2" x14ac:dyDescent="0.3">
      <c r="A105" s="2" t="s">
        <v>576</v>
      </c>
      <c r="B105" s="2" t="s">
        <v>86</v>
      </c>
    </row>
    <row r="106" spans="1:2" x14ac:dyDescent="0.3">
      <c r="A106" s="2" t="s">
        <v>576</v>
      </c>
      <c r="B106" s="2" t="s">
        <v>88</v>
      </c>
    </row>
    <row r="107" spans="1:2" x14ac:dyDescent="0.3">
      <c r="A107" s="2" t="s">
        <v>576</v>
      </c>
      <c r="B107" s="2" t="s">
        <v>90</v>
      </c>
    </row>
    <row r="108" spans="1:2" x14ac:dyDescent="0.3">
      <c r="A108" s="2" t="s">
        <v>576</v>
      </c>
      <c r="B108" s="2" t="s">
        <v>92</v>
      </c>
    </row>
    <row r="109" spans="1:2" x14ac:dyDescent="0.3">
      <c r="A109" s="2" t="s">
        <v>576</v>
      </c>
      <c r="B109" s="2" t="s">
        <v>94</v>
      </c>
    </row>
    <row r="110" spans="1:2" x14ac:dyDescent="0.3">
      <c r="A110" s="2" t="s">
        <v>576</v>
      </c>
      <c r="B110" s="2" t="s">
        <v>96</v>
      </c>
    </row>
    <row r="111" spans="1:2" x14ac:dyDescent="0.3">
      <c r="A111" s="2" t="s">
        <v>576</v>
      </c>
      <c r="B111" s="2" t="s">
        <v>98</v>
      </c>
    </row>
    <row r="112" spans="1:2" x14ac:dyDescent="0.3">
      <c r="A112" s="2" t="s">
        <v>126</v>
      </c>
      <c r="B112" s="2" t="s">
        <v>128</v>
      </c>
    </row>
    <row r="113" spans="1:2" x14ac:dyDescent="0.3">
      <c r="A113" s="2" t="s">
        <v>126</v>
      </c>
      <c r="B113" s="2" t="s">
        <v>129</v>
      </c>
    </row>
    <row r="114" spans="1:2" x14ac:dyDescent="0.3">
      <c r="A114" s="2" t="s">
        <v>126</v>
      </c>
      <c r="B114" s="2" t="s">
        <v>130</v>
      </c>
    </row>
    <row r="115" spans="1:2" x14ac:dyDescent="0.3">
      <c r="A115" s="2" t="s">
        <v>126</v>
      </c>
      <c r="B115" s="2" t="s">
        <v>131</v>
      </c>
    </row>
    <row r="116" spans="1:2" x14ac:dyDescent="0.3">
      <c r="A116" s="2" t="s">
        <v>126</v>
      </c>
      <c r="B116" s="2" t="s">
        <v>132</v>
      </c>
    </row>
    <row r="117" spans="1:2" x14ac:dyDescent="0.3">
      <c r="A117" s="2" t="s">
        <v>126</v>
      </c>
      <c r="B117" s="2" t="s">
        <v>133</v>
      </c>
    </row>
    <row r="118" spans="1:2" x14ac:dyDescent="0.3">
      <c r="A118" s="2" t="s">
        <v>126</v>
      </c>
      <c r="B118" s="2" t="s">
        <v>134</v>
      </c>
    </row>
    <row r="119" spans="1:2" x14ac:dyDescent="0.3">
      <c r="A119" s="2" t="s">
        <v>126</v>
      </c>
      <c r="B119" s="2" t="s">
        <v>135</v>
      </c>
    </row>
    <row r="120" spans="1:2" x14ac:dyDescent="0.3">
      <c r="A120" s="2" t="s">
        <v>126</v>
      </c>
      <c r="B120" s="2" t="s">
        <v>136</v>
      </c>
    </row>
    <row r="121" spans="1:2" x14ac:dyDescent="0.3">
      <c r="A121" s="2" t="s">
        <v>126</v>
      </c>
      <c r="B121" s="2" t="s">
        <v>290</v>
      </c>
    </row>
    <row r="122" spans="1:2" x14ac:dyDescent="0.3">
      <c r="A122" s="2" t="s">
        <v>1003</v>
      </c>
      <c r="B122" s="2" t="s">
        <v>128</v>
      </c>
    </row>
    <row r="123" spans="1:2" x14ac:dyDescent="0.3">
      <c r="A123" s="2" t="s">
        <v>1003</v>
      </c>
      <c r="B123" s="2" t="s">
        <v>129</v>
      </c>
    </row>
    <row r="124" spans="1:2" x14ac:dyDescent="0.3">
      <c r="A124" s="2" t="s">
        <v>1003</v>
      </c>
      <c r="B124" s="2" t="s">
        <v>130</v>
      </c>
    </row>
    <row r="125" spans="1:2" x14ac:dyDescent="0.3">
      <c r="A125" s="2" t="s">
        <v>1003</v>
      </c>
      <c r="B125" s="2" t="s">
        <v>131</v>
      </c>
    </row>
    <row r="126" spans="1:2" x14ac:dyDescent="0.3">
      <c r="A126" s="2" t="s">
        <v>1003</v>
      </c>
      <c r="B126" s="2" t="s">
        <v>132</v>
      </c>
    </row>
    <row r="127" spans="1:2" x14ac:dyDescent="0.3">
      <c r="A127" s="2" t="s">
        <v>1003</v>
      </c>
      <c r="B127" s="2" t="s">
        <v>133</v>
      </c>
    </row>
    <row r="128" spans="1:2" x14ac:dyDescent="0.3">
      <c r="A128" s="2" t="s">
        <v>1003</v>
      </c>
      <c r="B128" s="2" t="s">
        <v>134</v>
      </c>
    </row>
    <row r="129" spans="1:2" x14ac:dyDescent="0.3">
      <c r="A129" s="2" t="s">
        <v>1003</v>
      </c>
      <c r="B129" s="2" t="s">
        <v>135</v>
      </c>
    </row>
    <row r="130" spans="1:2" x14ac:dyDescent="0.3">
      <c r="A130" s="2" t="s">
        <v>1003</v>
      </c>
      <c r="B130" s="2" t="s">
        <v>136</v>
      </c>
    </row>
    <row r="131" spans="1:2" x14ac:dyDescent="0.3">
      <c r="A131" s="2" t="s">
        <v>1003</v>
      </c>
      <c r="B131" s="2" t="s">
        <v>127</v>
      </c>
    </row>
    <row r="132" spans="1:2" x14ac:dyDescent="0.3">
      <c r="A132" s="2" t="s">
        <v>999</v>
      </c>
      <c r="B132" s="2" t="s">
        <v>166</v>
      </c>
    </row>
    <row r="133" spans="1:2" x14ac:dyDescent="0.3">
      <c r="A133" s="2" t="s">
        <v>999</v>
      </c>
      <c r="B133" s="2" t="s">
        <v>180</v>
      </c>
    </row>
    <row r="134" spans="1:2" x14ac:dyDescent="0.3">
      <c r="A134" s="2" t="s">
        <v>999</v>
      </c>
      <c r="B134" s="2" t="s">
        <v>247</v>
      </c>
    </row>
    <row r="135" spans="1:2" x14ac:dyDescent="0.3">
      <c r="A135" s="2" t="s">
        <v>999</v>
      </c>
      <c r="B135" s="2" t="s">
        <v>251</v>
      </c>
    </row>
    <row r="136" spans="1:2" x14ac:dyDescent="0.3">
      <c r="A136" s="2" t="s">
        <v>999</v>
      </c>
      <c r="B136" s="2" t="s">
        <v>279</v>
      </c>
    </row>
    <row r="137" spans="1:2" x14ac:dyDescent="0.3">
      <c r="A137" s="2" t="s">
        <v>999</v>
      </c>
      <c r="B137" s="2" t="s">
        <v>281</v>
      </c>
    </row>
    <row r="138" spans="1:2" x14ac:dyDescent="0.3">
      <c r="A138" s="2" t="s">
        <v>999</v>
      </c>
      <c r="B138" s="2" t="s">
        <v>290</v>
      </c>
    </row>
    <row r="139" spans="1:2" x14ac:dyDescent="0.3">
      <c r="A139" s="2" t="s">
        <v>999</v>
      </c>
      <c r="B139" s="2" t="s">
        <v>296</v>
      </c>
    </row>
    <row r="140" spans="1:2" x14ac:dyDescent="0.3">
      <c r="A140" s="2" t="s">
        <v>999</v>
      </c>
      <c r="B140" s="2" t="s">
        <v>322</v>
      </c>
    </row>
    <row r="141" spans="1:2" x14ac:dyDescent="0.3">
      <c r="A141" s="2" t="s">
        <v>999</v>
      </c>
      <c r="B141" s="2" t="s">
        <v>332</v>
      </c>
    </row>
    <row r="142" spans="1:2" x14ac:dyDescent="0.3">
      <c r="A142" s="2" t="s">
        <v>999</v>
      </c>
      <c r="B142" s="2" t="s">
        <v>338</v>
      </c>
    </row>
    <row r="143" spans="1:2" x14ac:dyDescent="0.3">
      <c r="A143" s="2" t="s">
        <v>999</v>
      </c>
      <c r="B143" s="2" t="s">
        <v>378</v>
      </c>
    </row>
    <row r="144" spans="1:2" x14ac:dyDescent="0.3">
      <c r="A144" s="2" t="s">
        <v>999</v>
      </c>
      <c r="B144" s="2" t="s">
        <v>394</v>
      </c>
    </row>
    <row r="145" spans="1:2" x14ac:dyDescent="0.3">
      <c r="A145" s="2" t="s">
        <v>999</v>
      </c>
      <c r="B145" s="2" t="s">
        <v>422</v>
      </c>
    </row>
    <row r="146" spans="1:2" x14ac:dyDescent="0.3">
      <c r="A146" s="2" t="s">
        <v>999</v>
      </c>
      <c r="B146" s="2" t="s">
        <v>134</v>
      </c>
    </row>
    <row r="147" spans="1:2" x14ac:dyDescent="0.3">
      <c r="A147" s="2" t="s">
        <v>999</v>
      </c>
      <c r="B147" s="2" t="s">
        <v>456</v>
      </c>
    </row>
    <row r="148" spans="1:2" x14ac:dyDescent="0.3">
      <c r="A148" s="2" t="s">
        <v>999</v>
      </c>
      <c r="B148" s="2" t="s">
        <v>510</v>
      </c>
    </row>
    <row r="149" spans="1:2" x14ac:dyDescent="0.3">
      <c r="A149" s="2" t="s">
        <v>999</v>
      </c>
      <c r="B149" s="2" t="s">
        <v>135</v>
      </c>
    </row>
    <row r="150" spans="1:2" x14ac:dyDescent="0.3">
      <c r="A150" s="2" t="s">
        <v>999</v>
      </c>
      <c r="B150" s="2" t="s">
        <v>133</v>
      </c>
    </row>
    <row r="151" spans="1:2" x14ac:dyDescent="0.3">
      <c r="A151" s="2" t="s">
        <v>999</v>
      </c>
      <c r="B151" s="2" t="s">
        <v>128</v>
      </c>
    </row>
    <row r="152" spans="1:2" x14ac:dyDescent="0.3">
      <c r="A152" s="2" t="s">
        <v>1000</v>
      </c>
      <c r="B152" s="8" t="s">
        <v>202</v>
      </c>
    </row>
    <row r="153" spans="1:2" x14ac:dyDescent="0.3">
      <c r="A153" s="2" t="s">
        <v>1000</v>
      </c>
      <c r="B153" s="8" t="s">
        <v>241</v>
      </c>
    </row>
    <row r="154" spans="1:2" x14ac:dyDescent="0.3">
      <c r="A154" s="2" t="s">
        <v>1000</v>
      </c>
      <c r="B154" s="8" t="s">
        <v>249</v>
      </c>
    </row>
    <row r="155" spans="1:2" x14ac:dyDescent="0.3">
      <c r="A155" s="2" t="s">
        <v>1000</v>
      </c>
      <c r="B155" s="8" t="s">
        <v>269</v>
      </c>
    </row>
    <row r="156" spans="1:2" x14ac:dyDescent="0.3">
      <c r="A156" s="2" t="s">
        <v>1000</v>
      </c>
      <c r="B156" s="8" t="s">
        <v>320</v>
      </c>
    </row>
    <row r="157" spans="1:2" x14ac:dyDescent="0.3">
      <c r="A157" s="2" t="s">
        <v>1000</v>
      </c>
      <c r="B157" s="8" t="s">
        <v>364</v>
      </c>
    </row>
    <row r="158" spans="1:2" x14ac:dyDescent="0.3">
      <c r="A158" s="2" t="s">
        <v>1000</v>
      </c>
      <c r="B158" s="8" t="s">
        <v>376</v>
      </c>
    </row>
    <row r="159" spans="1:2" x14ac:dyDescent="0.3">
      <c r="A159" s="2" t="s">
        <v>1000</v>
      </c>
      <c r="B159" s="8" t="s">
        <v>406</v>
      </c>
    </row>
    <row r="160" spans="1:2" x14ac:dyDescent="0.3">
      <c r="A160" s="2" t="s">
        <v>1000</v>
      </c>
      <c r="B160" s="8" t="s">
        <v>454</v>
      </c>
    </row>
    <row r="161" spans="1:3" x14ac:dyDescent="0.3">
      <c r="A161" s="2" t="s">
        <v>1000</v>
      </c>
      <c r="B161" s="8" t="s">
        <v>462</v>
      </c>
    </row>
    <row r="162" spans="1:3" x14ac:dyDescent="0.3">
      <c r="A162" s="2" t="s">
        <v>1000</v>
      </c>
      <c r="B162" s="8" t="s">
        <v>464</v>
      </c>
    </row>
    <row r="163" spans="1:3" x14ac:dyDescent="0.3">
      <c r="A163" s="2" t="s">
        <v>1000</v>
      </c>
      <c r="B163" s="8" t="s">
        <v>542</v>
      </c>
    </row>
    <row r="164" spans="1:3" x14ac:dyDescent="0.3">
      <c r="A164" s="2" t="s">
        <v>1000</v>
      </c>
      <c r="B164" s="8" t="s">
        <v>550</v>
      </c>
    </row>
    <row r="165" spans="1:3" x14ac:dyDescent="0.3">
      <c r="A165" s="2" t="s">
        <v>1001</v>
      </c>
      <c r="B165" s="8" t="s">
        <v>132</v>
      </c>
      <c r="C165" s="2" t="str">
        <f>VLOOKUP(B165,econ_country_codes!$B$1:$B$273,1,FALSE)</f>
        <v>Canada</v>
      </c>
    </row>
    <row r="166" spans="1:3" x14ac:dyDescent="0.3">
      <c r="A166" s="2" t="s">
        <v>1001</v>
      </c>
      <c r="B166" s="8" t="s">
        <v>131</v>
      </c>
      <c r="C166" s="2" t="str">
        <f>VLOOKUP(B166,econ_country_codes!$B$1:$B$273,1,FALSE)</f>
        <v>United States</v>
      </c>
    </row>
    <row r="167" spans="1:3" x14ac:dyDescent="0.3">
      <c r="A167" s="2" t="s">
        <v>1001</v>
      </c>
      <c r="B167" s="8" t="s">
        <v>196</v>
      </c>
      <c r="C167" s="2" t="str">
        <f>VLOOKUP(B167,econ_country_codes!$B$1:$B$273,1,FALSE)</f>
        <v>Brazil</v>
      </c>
    </row>
    <row r="168" spans="1:3" x14ac:dyDescent="0.3">
      <c r="A168" s="2" t="s">
        <v>1001</v>
      </c>
      <c r="B168" s="8" t="s">
        <v>223</v>
      </c>
      <c r="C168" s="2" t="str">
        <f>VLOOKUP(B168,econ_country_codes!$B$1:$B$273,1,FALSE)</f>
        <v>Chile</v>
      </c>
    </row>
    <row r="169" spans="1:3" x14ac:dyDescent="0.3">
      <c r="A169" s="2" t="s">
        <v>1001</v>
      </c>
      <c r="B169" s="8" t="s">
        <v>227</v>
      </c>
      <c r="C169" s="2" t="str">
        <f>VLOOKUP(B169,econ_country_codes!$B$1:$B$273,1,FALSE)</f>
        <v>Colombia</v>
      </c>
    </row>
    <row r="170" spans="1:3" x14ac:dyDescent="0.3">
      <c r="A170" s="2" t="s">
        <v>1001</v>
      </c>
      <c r="B170" s="8" t="s">
        <v>402</v>
      </c>
      <c r="C170" s="2" t="str">
        <f>VLOOKUP(B170,econ_country_codes!$B$1:$B$273,1,FALSE)</f>
        <v>Mexico</v>
      </c>
    </row>
    <row r="171" spans="1:3" x14ac:dyDescent="0.3">
      <c r="A171" s="2" t="s">
        <v>1001</v>
      </c>
      <c r="B171" s="8" t="s">
        <v>166</v>
      </c>
      <c r="C171" s="2" t="str">
        <f>VLOOKUP(B171,econ_country_codes!$B$1:$B$273,1,FALSE)</f>
        <v>Austria</v>
      </c>
    </row>
    <row r="172" spans="1:3" x14ac:dyDescent="0.3">
      <c r="A172" s="2" t="s">
        <v>1001</v>
      </c>
      <c r="B172" s="8" t="s">
        <v>180</v>
      </c>
      <c r="C172" s="2" t="str">
        <f>VLOOKUP(B172,econ_country_codes!$B$1:$B$273,1,FALSE)</f>
        <v>Belgium</v>
      </c>
    </row>
    <row r="173" spans="1:3" x14ac:dyDescent="0.3">
      <c r="A173" s="2" t="s">
        <v>1001</v>
      </c>
      <c r="B173" s="8" t="s">
        <v>247</v>
      </c>
      <c r="C173" s="2" t="str">
        <f>VLOOKUP(B173,econ_country_codes!$B$1:$B$273,1,FALSE)</f>
        <v>Cyprus</v>
      </c>
    </row>
    <row r="174" spans="1:3" x14ac:dyDescent="0.3">
      <c r="A174" s="2" t="s">
        <v>1001</v>
      </c>
      <c r="B174" s="8" t="s">
        <v>251</v>
      </c>
      <c r="C174" s="2" t="str">
        <f>VLOOKUP(B174,econ_country_codes!$B$1:$B$273,1,FALSE)</f>
        <v>Denmark</v>
      </c>
    </row>
    <row r="175" spans="1:3" x14ac:dyDescent="0.3">
      <c r="A175" s="2" t="s">
        <v>1001</v>
      </c>
      <c r="B175" s="8" t="s">
        <v>279</v>
      </c>
      <c r="C175" s="2" t="str">
        <f>VLOOKUP(B175,econ_country_codes!$B$1:$B$273,1,FALSE)</f>
        <v>Finland</v>
      </c>
    </row>
    <row r="176" spans="1:3" x14ac:dyDescent="0.3">
      <c r="A176" s="2" t="s">
        <v>1001</v>
      </c>
      <c r="B176" s="8" t="s">
        <v>281</v>
      </c>
      <c r="C176" s="2" t="str">
        <f>VLOOKUP(B176,econ_country_codes!$B$1:$B$273,1,FALSE)</f>
        <v>France</v>
      </c>
    </row>
    <row r="177" spans="1:3" x14ac:dyDescent="0.3">
      <c r="A177" s="2" t="s">
        <v>1001</v>
      </c>
      <c r="B177" s="8" t="s">
        <v>290</v>
      </c>
      <c r="C177" s="2" t="str">
        <f>VLOOKUP(B177,econ_country_codes!$B$1:$B$273,1,FALSE)</f>
        <v>Germany</v>
      </c>
    </row>
    <row r="178" spans="1:3" x14ac:dyDescent="0.3">
      <c r="A178" s="2" t="s">
        <v>1001</v>
      </c>
      <c r="B178" s="8" t="s">
        <v>296</v>
      </c>
      <c r="C178" s="2" t="str">
        <f>VLOOKUP(B178,econ_country_codes!$B$1:$B$273,1,FALSE)</f>
        <v>Greece</v>
      </c>
    </row>
    <row r="179" spans="1:3" x14ac:dyDescent="0.3">
      <c r="A179" s="2" t="s">
        <v>1001</v>
      </c>
      <c r="B179" s="8" t="s">
        <v>332</v>
      </c>
      <c r="C179" s="2" t="str">
        <f>VLOOKUP(B179,econ_country_codes!$B$1:$B$273,1,FALSE)</f>
        <v>Ireland</v>
      </c>
    </row>
    <row r="180" spans="1:3" x14ac:dyDescent="0.3">
      <c r="A180" s="2" t="s">
        <v>1001</v>
      </c>
      <c r="B180" s="8" t="s">
        <v>338</v>
      </c>
      <c r="C180" s="2" t="str">
        <f>VLOOKUP(B180,econ_country_codes!$B$1:$B$273,1,FALSE)</f>
        <v>Italy</v>
      </c>
    </row>
    <row r="181" spans="1:3" x14ac:dyDescent="0.3">
      <c r="A181" s="2" t="s">
        <v>1001</v>
      </c>
      <c r="B181" s="8" t="s">
        <v>378</v>
      </c>
      <c r="C181" s="2" t="str">
        <f>VLOOKUP(B181,econ_country_codes!$B$1:$B$273,1,FALSE)</f>
        <v>Luxembourg</v>
      </c>
    </row>
    <row r="182" spans="1:3" x14ac:dyDescent="0.3">
      <c r="A182" s="2" t="s">
        <v>1001</v>
      </c>
      <c r="B182" s="8" t="s">
        <v>394</v>
      </c>
      <c r="C182" s="2" t="str">
        <f>VLOOKUP(B182,econ_country_codes!$B$1:$B$273,1,FALSE)</f>
        <v>Malta</v>
      </c>
    </row>
    <row r="183" spans="1:3" x14ac:dyDescent="0.3">
      <c r="A183" s="2" t="s">
        <v>1001</v>
      </c>
      <c r="B183" s="8" t="s">
        <v>422</v>
      </c>
      <c r="C183" s="2" t="str">
        <f>VLOOKUP(B183,econ_country_codes!$B$1:$B$273,1,FALSE)</f>
        <v>Netherlands</v>
      </c>
    </row>
    <row r="184" spans="1:3" x14ac:dyDescent="0.3">
      <c r="A184" s="2" t="s">
        <v>1001</v>
      </c>
      <c r="B184" s="8" t="s">
        <v>134</v>
      </c>
      <c r="C184" s="2" t="str">
        <f>VLOOKUP(B184,econ_country_codes!$B$1:$B$273,1,FALSE)</f>
        <v>Norway</v>
      </c>
    </row>
    <row r="185" spans="1:3" x14ac:dyDescent="0.3">
      <c r="A185" s="2" t="s">
        <v>1001</v>
      </c>
      <c r="B185" s="8" t="s">
        <v>456</v>
      </c>
      <c r="C185" s="2" t="str">
        <f>VLOOKUP(B185,econ_country_codes!$B$1:$B$273,1,FALSE)</f>
        <v>Portugal</v>
      </c>
    </row>
    <row r="186" spans="1:3" x14ac:dyDescent="0.3">
      <c r="A186" s="2" t="s">
        <v>1001</v>
      </c>
      <c r="B186" s="8" t="s">
        <v>510</v>
      </c>
      <c r="C186" s="2" t="str">
        <f>VLOOKUP(B186,econ_country_codes!$B$1:$B$273,1,FALSE)</f>
        <v>Spain</v>
      </c>
    </row>
    <row r="187" spans="1:3" x14ac:dyDescent="0.3">
      <c r="A187" s="2" t="s">
        <v>1001</v>
      </c>
      <c r="B187" s="8" t="s">
        <v>135</v>
      </c>
      <c r="C187" s="2" t="str">
        <f>VLOOKUP(B187,econ_country_codes!$B$1:$B$273,1,FALSE)</f>
        <v>Sweden</v>
      </c>
    </row>
    <row r="188" spans="1:3" x14ac:dyDescent="0.3">
      <c r="A188" s="2" t="s">
        <v>1001</v>
      </c>
      <c r="B188" s="8" t="s">
        <v>133</v>
      </c>
      <c r="C188" s="2" t="str">
        <f>VLOOKUP(B188,econ_country_codes!$B$1:$B$273,1,FALSE)</f>
        <v>Switzerland</v>
      </c>
    </row>
    <row r="189" spans="1:3" x14ac:dyDescent="0.3">
      <c r="A189" s="2" t="s">
        <v>1001</v>
      </c>
      <c r="B189" s="8" t="s">
        <v>128</v>
      </c>
      <c r="C189" s="2" t="str">
        <f>VLOOKUP(B189,econ_country_codes!$B$1:$B$273,1,FALSE)</f>
        <v>United Kingdom</v>
      </c>
    </row>
    <row r="190" spans="1:3" x14ac:dyDescent="0.3">
      <c r="A190" s="2" t="s">
        <v>1001</v>
      </c>
      <c r="B190" s="8" t="s">
        <v>202</v>
      </c>
      <c r="C190" s="2" t="str">
        <f>VLOOKUP(B190,econ_country_codes!$B$1:$B$273,1,FALSE)</f>
        <v>Bulgaria</v>
      </c>
    </row>
    <row r="191" spans="1:3" x14ac:dyDescent="0.3">
      <c r="A191" s="2" t="s">
        <v>1001</v>
      </c>
      <c r="B191" s="8" t="s">
        <v>249</v>
      </c>
      <c r="C191" s="2" t="str">
        <f>VLOOKUP(B191,econ_country_codes!$B$1:$B$273,1,FALSE)</f>
        <v>Czech Republic</v>
      </c>
    </row>
    <row r="192" spans="1:3" x14ac:dyDescent="0.3">
      <c r="A192" s="2" t="s">
        <v>1001</v>
      </c>
      <c r="B192" s="8" t="s">
        <v>269</v>
      </c>
      <c r="C192" s="2" t="str">
        <f>VLOOKUP(B192,econ_country_codes!$B$1:$B$273,1,FALSE)</f>
        <v>Estonia</v>
      </c>
    </row>
    <row r="193" spans="1:3" x14ac:dyDescent="0.3">
      <c r="A193" s="2" t="s">
        <v>1001</v>
      </c>
      <c r="B193" s="8" t="s">
        <v>320</v>
      </c>
      <c r="C193" s="2" t="str">
        <f>VLOOKUP(B193,econ_country_codes!$B$1:$B$273,1,FALSE)</f>
        <v>Hungary</v>
      </c>
    </row>
    <row r="194" spans="1:3" x14ac:dyDescent="0.3">
      <c r="A194" s="2" t="s">
        <v>1001</v>
      </c>
      <c r="B194" s="8" t="s">
        <v>364</v>
      </c>
      <c r="C194" s="2" t="str">
        <f>VLOOKUP(B194,econ_country_codes!$B$1:$B$273,1,FALSE)</f>
        <v>Latvia</v>
      </c>
    </row>
    <row r="195" spans="1:3" x14ac:dyDescent="0.3">
      <c r="A195" s="2" t="s">
        <v>1001</v>
      </c>
      <c r="B195" s="8" t="s">
        <v>376</v>
      </c>
      <c r="C195" s="2" t="str">
        <f>VLOOKUP(B195,econ_country_codes!$B$1:$B$273,1,FALSE)</f>
        <v>Lithuania</v>
      </c>
    </row>
    <row r="196" spans="1:3" x14ac:dyDescent="0.3">
      <c r="A196" s="2" t="s">
        <v>1001</v>
      </c>
      <c r="B196" s="8" t="s">
        <v>454</v>
      </c>
      <c r="C196" s="2" t="str">
        <f>VLOOKUP(B196,econ_country_codes!$B$1:$B$273,1,FALSE)</f>
        <v>Poland</v>
      </c>
    </row>
    <row r="197" spans="1:3" x14ac:dyDescent="0.3">
      <c r="A197" s="2" t="s">
        <v>1001</v>
      </c>
      <c r="B197" s="8" t="s">
        <v>462</v>
      </c>
      <c r="C197" s="2" t="str">
        <f>VLOOKUP(B197,econ_country_codes!$B$1:$B$273,1,FALSE)</f>
        <v>Romania</v>
      </c>
    </row>
    <row r="198" spans="1:3" x14ac:dyDescent="0.3">
      <c r="A198" s="2" t="s">
        <v>1001</v>
      </c>
      <c r="B198" s="8" t="s">
        <v>464</v>
      </c>
      <c r="C198" s="2" t="str">
        <f>VLOOKUP(B198,econ_country_codes!$B$1:$B$273,1,FALSE)</f>
        <v>Russia</v>
      </c>
    </row>
    <row r="199" spans="1:3" x14ac:dyDescent="0.3">
      <c r="A199" s="2" t="s">
        <v>1001</v>
      </c>
      <c r="B199" s="8" t="s">
        <v>542</v>
      </c>
      <c r="C199" s="2" t="str">
        <f>VLOOKUP(B199,econ_country_codes!$B$1:$B$273,1,FALSE)</f>
        <v>Turkey</v>
      </c>
    </row>
    <row r="200" spans="1:3" x14ac:dyDescent="0.3">
      <c r="A200" s="2" t="s">
        <v>1001</v>
      </c>
      <c r="B200" s="8" t="s">
        <v>550</v>
      </c>
      <c r="C200" s="2" t="str">
        <f>VLOOKUP(B200,econ_country_codes!$B$1:$B$273,1,FALSE)</f>
        <v>Ukraine</v>
      </c>
    </row>
    <row r="201" spans="1:3" x14ac:dyDescent="0.3">
      <c r="A201" s="2" t="s">
        <v>1001</v>
      </c>
      <c r="B201" s="8" t="s">
        <v>261</v>
      </c>
      <c r="C201" s="2" t="str">
        <f>VLOOKUP(B201,econ_country_codes!$B$1:$B$273,1,FALSE)</f>
        <v>Egypt</v>
      </c>
    </row>
    <row r="202" spans="1:3" x14ac:dyDescent="0.3">
      <c r="A202" s="2" t="s">
        <v>1001</v>
      </c>
      <c r="B202" s="8" t="s">
        <v>336</v>
      </c>
      <c r="C202" s="2" t="str">
        <f>VLOOKUP(B202,econ_country_codes!$B$1:$B$273,1,FALSE)</f>
        <v>Israel</v>
      </c>
    </row>
    <row r="203" spans="1:3" x14ac:dyDescent="0.3">
      <c r="A203" s="2" t="s">
        <v>1001</v>
      </c>
      <c r="B203" s="8" t="s">
        <v>506</v>
      </c>
      <c r="C203" s="2" t="str">
        <f>VLOOKUP(B203,econ_country_codes!$B$1:$B$273,1,FALSE)</f>
        <v>South Africa</v>
      </c>
    </row>
    <row r="204" spans="1:3" x14ac:dyDescent="0.3">
      <c r="A204" s="2" t="s">
        <v>1001</v>
      </c>
      <c r="B204" s="8" t="s">
        <v>129</v>
      </c>
      <c r="C204" s="2" t="str">
        <f>VLOOKUP(B204,econ_country_codes!$B$1:$B$273,1,FALSE)</f>
        <v>Australia</v>
      </c>
    </row>
    <row r="205" spans="1:3" x14ac:dyDescent="0.3">
      <c r="A205" s="2" t="s">
        <v>1001</v>
      </c>
      <c r="B205" s="8" t="s">
        <v>225</v>
      </c>
      <c r="C205" s="2" t="str">
        <f>VLOOKUP(B205,econ_country_codes!$B$1:$B$273,1,FALSE)</f>
        <v>China</v>
      </c>
    </row>
    <row r="206" spans="1:3" x14ac:dyDescent="0.3">
      <c r="A206" s="2" t="s">
        <v>1001</v>
      </c>
      <c r="B206" s="8" t="s">
        <v>318</v>
      </c>
      <c r="C206" s="2" t="str">
        <f>VLOOKUP(B206,econ_country_codes!$B$1:$B$273,1,FALSE)</f>
        <v>Hong Kong</v>
      </c>
    </row>
    <row r="207" spans="1:3" x14ac:dyDescent="0.3">
      <c r="A207" s="2" t="s">
        <v>1001</v>
      </c>
      <c r="B207" s="8" t="s">
        <v>136</v>
      </c>
      <c r="C207" s="2" t="str">
        <f>VLOOKUP(B207,econ_country_codes!$B$1:$B$273,1,FALSE)</f>
        <v>Japan</v>
      </c>
    </row>
    <row r="208" spans="1:3" x14ac:dyDescent="0.3">
      <c r="A208" s="2" t="s">
        <v>1001</v>
      </c>
      <c r="B208" s="8" t="s">
        <v>130</v>
      </c>
      <c r="C208" s="2" t="str">
        <f>VLOOKUP(B208,econ_country_codes!$B$1:$B$273,1,FALSE)</f>
        <v>New Zealand</v>
      </c>
    </row>
    <row r="209" spans="1:3" x14ac:dyDescent="0.3">
      <c r="A209" s="2" t="s">
        <v>1001</v>
      </c>
      <c r="B209" s="8" t="s">
        <v>452</v>
      </c>
      <c r="C209" s="2" t="str">
        <f>VLOOKUP(B209,econ_country_codes!$B$1:$B$273,1,FALSE)</f>
        <v>Philippines</v>
      </c>
    </row>
    <row r="210" spans="1:3" x14ac:dyDescent="0.3">
      <c r="A210" s="2" t="s">
        <v>1001</v>
      </c>
      <c r="B210" s="8" t="s">
        <v>494</v>
      </c>
      <c r="C210" s="2" t="str">
        <f>VLOOKUP(B210,econ_country_codes!$B$1:$B$273,1,FALSE)</f>
        <v>Singapore</v>
      </c>
    </row>
    <row r="211" spans="1:3" x14ac:dyDescent="0.3">
      <c r="A211" s="2" t="s">
        <v>1001</v>
      </c>
      <c r="B211" s="8" t="s">
        <v>611</v>
      </c>
      <c r="C211" s="2" t="str">
        <f>VLOOKUP(B211,econ_country_codes!$B$1:$B$273,1,FALSE)</f>
        <v>South Korea</v>
      </c>
    </row>
    <row r="212" spans="1:3" x14ac:dyDescent="0.3">
      <c r="A212" s="2" t="s">
        <v>1001</v>
      </c>
      <c r="B212" s="8" t="s">
        <v>524</v>
      </c>
      <c r="C212" s="2" t="str">
        <f>VLOOKUP(B212,econ_country_codes!$B$1:$B$273,1,FALSE)</f>
        <v>Taiwan</v>
      </c>
    </row>
    <row r="213" spans="1:3" x14ac:dyDescent="0.3">
      <c r="A213" s="2" t="s">
        <v>1001</v>
      </c>
      <c r="B213" s="8" t="s">
        <v>530</v>
      </c>
      <c r="C213" s="2" t="str">
        <f>VLOOKUP(B213,econ_country_codes!$B$1:$B$273,1,FALSE)</f>
        <v>Thailand</v>
      </c>
    </row>
    <row r="214" spans="1:3" x14ac:dyDescent="0.3">
      <c r="A214" s="2" t="s">
        <v>1002</v>
      </c>
      <c r="B214" s="2" t="s">
        <v>166</v>
      </c>
    </row>
    <row r="215" spans="1:3" x14ac:dyDescent="0.3">
      <c r="A215" s="2" t="s">
        <v>1002</v>
      </c>
      <c r="B215" s="2" t="s">
        <v>180</v>
      </c>
    </row>
    <row r="216" spans="1:3" x14ac:dyDescent="0.3">
      <c r="A216" s="2" t="s">
        <v>1002</v>
      </c>
      <c r="B216" s="2" t="s">
        <v>247</v>
      </c>
    </row>
    <row r="217" spans="1:3" x14ac:dyDescent="0.3">
      <c r="A217" s="2" t="s">
        <v>1002</v>
      </c>
      <c r="B217" s="2" t="s">
        <v>251</v>
      </c>
    </row>
    <row r="218" spans="1:3" x14ac:dyDescent="0.3">
      <c r="A218" s="2" t="s">
        <v>1002</v>
      </c>
      <c r="B218" s="2" t="s">
        <v>279</v>
      </c>
    </row>
    <row r="219" spans="1:3" x14ac:dyDescent="0.3">
      <c r="A219" s="2" t="s">
        <v>1002</v>
      </c>
      <c r="B219" s="2" t="s">
        <v>281</v>
      </c>
    </row>
    <row r="220" spans="1:3" x14ac:dyDescent="0.3">
      <c r="A220" s="2" t="s">
        <v>1002</v>
      </c>
      <c r="B220" s="2" t="s">
        <v>290</v>
      </c>
    </row>
    <row r="221" spans="1:3" x14ac:dyDescent="0.3">
      <c r="A221" s="2" t="s">
        <v>1002</v>
      </c>
      <c r="B221" s="2" t="s">
        <v>296</v>
      </c>
    </row>
    <row r="222" spans="1:3" x14ac:dyDescent="0.3">
      <c r="A222" s="2" t="s">
        <v>1002</v>
      </c>
      <c r="B222" s="2" t="s">
        <v>322</v>
      </c>
    </row>
    <row r="223" spans="1:3" x14ac:dyDescent="0.3">
      <c r="A223" s="2" t="s">
        <v>1002</v>
      </c>
      <c r="B223" s="2" t="s">
        <v>332</v>
      </c>
    </row>
    <row r="224" spans="1:3" x14ac:dyDescent="0.3">
      <c r="A224" s="2" t="s">
        <v>1002</v>
      </c>
      <c r="B224" s="2" t="s">
        <v>338</v>
      </c>
    </row>
    <row r="225" spans="1:2" x14ac:dyDescent="0.3">
      <c r="A225" s="2" t="s">
        <v>1002</v>
      </c>
      <c r="B225" s="2" t="s">
        <v>378</v>
      </c>
    </row>
    <row r="226" spans="1:2" x14ac:dyDescent="0.3">
      <c r="A226" s="2" t="s">
        <v>1002</v>
      </c>
      <c r="B226" s="2" t="s">
        <v>394</v>
      </c>
    </row>
    <row r="227" spans="1:2" x14ac:dyDescent="0.3">
      <c r="A227" s="2" t="s">
        <v>1002</v>
      </c>
      <c r="B227" s="2" t="s">
        <v>422</v>
      </c>
    </row>
    <row r="228" spans="1:2" x14ac:dyDescent="0.3">
      <c r="A228" s="2" t="s">
        <v>1002</v>
      </c>
      <c r="B228" s="2" t="s">
        <v>134</v>
      </c>
    </row>
    <row r="229" spans="1:2" x14ac:dyDescent="0.3">
      <c r="A229" s="2" t="s">
        <v>1002</v>
      </c>
      <c r="B229" s="2" t="s">
        <v>456</v>
      </c>
    </row>
    <row r="230" spans="1:2" x14ac:dyDescent="0.3">
      <c r="A230" s="2" t="s">
        <v>1002</v>
      </c>
      <c r="B230" s="2" t="s">
        <v>510</v>
      </c>
    </row>
    <row r="231" spans="1:2" x14ac:dyDescent="0.3">
      <c r="A231" s="2" t="s">
        <v>1002</v>
      </c>
      <c r="B231" s="2" t="s">
        <v>135</v>
      </c>
    </row>
    <row r="232" spans="1:2" x14ac:dyDescent="0.3">
      <c r="A232" s="2" t="s">
        <v>1002</v>
      </c>
      <c r="B232" s="2" t="s">
        <v>133</v>
      </c>
    </row>
    <row r="233" spans="1:2" x14ac:dyDescent="0.3">
      <c r="A233" s="2" t="s">
        <v>1002</v>
      </c>
      <c r="B233" s="2" t="s">
        <v>128</v>
      </c>
    </row>
    <row r="234" spans="1:2" x14ac:dyDescent="0.3">
      <c r="A234" s="2" t="s">
        <v>1002</v>
      </c>
      <c r="B234" s="8" t="s">
        <v>202</v>
      </c>
    </row>
    <row r="235" spans="1:2" x14ac:dyDescent="0.3">
      <c r="A235" s="2" t="s">
        <v>1002</v>
      </c>
      <c r="B235" s="8" t="s">
        <v>241</v>
      </c>
    </row>
    <row r="236" spans="1:2" x14ac:dyDescent="0.3">
      <c r="A236" s="2" t="s">
        <v>1002</v>
      </c>
      <c r="B236" s="8" t="s">
        <v>249</v>
      </c>
    </row>
    <row r="237" spans="1:2" x14ac:dyDescent="0.3">
      <c r="A237" s="2" t="s">
        <v>1002</v>
      </c>
      <c r="B237" s="8" t="s">
        <v>269</v>
      </c>
    </row>
    <row r="238" spans="1:2" x14ac:dyDescent="0.3">
      <c r="A238" s="2" t="s">
        <v>1002</v>
      </c>
      <c r="B238" s="8" t="s">
        <v>320</v>
      </c>
    </row>
    <row r="239" spans="1:2" x14ac:dyDescent="0.3">
      <c r="A239" s="2" t="s">
        <v>1002</v>
      </c>
      <c r="B239" s="8" t="s">
        <v>364</v>
      </c>
    </row>
    <row r="240" spans="1:2" x14ac:dyDescent="0.3">
      <c r="A240" s="2" t="s">
        <v>1002</v>
      </c>
      <c r="B240" s="8" t="s">
        <v>376</v>
      </c>
    </row>
    <row r="241" spans="1:2" x14ac:dyDescent="0.3">
      <c r="A241" s="2" t="s">
        <v>1002</v>
      </c>
      <c r="B241" s="8" t="s">
        <v>454</v>
      </c>
    </row>
    <row r="242" spans="1:2" x14ac:dyDescent="0.3">
      <c r="A242" s="2" t="s">
        <v>1002</v>
      </c>
      <c r="B242" s="8" t="s">
        <v>462</v>
      </c>
    </row>
    <row r="243" spans="1:2" x14ac:dyDescent="0.3">
      <c r="A243" s="2" t="s">
        <v>1002</v>
      </c>
      <c r="B243" s="8" t="s">
        <v>464</v>
      </c>
    </row>
    <row r="244" spans="1:2" x14ac:dyDescent="0.3">
      <c r="A244" s="2" t="s">
        <v>1002</v>
      </c>
      <c r="B244" s="8" t="s">
        <v>542</v>
      </c>
    </row>
    <row r="245" spans="1:2" x14ac:dyDescent="0.3">
      <c r="A245" s="2" t="s">
        <v>1002</v>
      </c>
      <c r="B245" s="8" t="s">
        <v>550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8"/>
  <sheetViews>
    <sheetView zoomScaleNormal="100" workbookViewId="0"/>
  </sheetViews>
  <sheetFormatPr defaultRowHeight="10.15" x14ac:dyDescent="0.3"/>
  <cols>
    <col min="1" max="1" width="25.59765625" style="2" customWidth="1"/>
    <col min="2" max="2" width="29.1328125" style="2" customWidth="1"/>
    <col min="3" max="16384" width="9.06640625" style="2"/>
  </cols>
  <sheetData>
    <row r="1" spans="1:4" x14ac:dyDescent="0.3">
      <c r="A1" s="3" t="s">
        <v>123</v>
      </c>
      <c r="B1" s="3" t="s">
        <v>100</v>
      </c>
      <c r="C1" s="3" t="s">
        <v>99</v>
      </c>
      <c r="D1" s="3" t="s">
        <v>105</v>
      </c>
    </row>
    <row r="2" spans="1:4" x14ac:dyDescent="0.3">
      <c r="A2" s="2" t="s">
        <v>125</v>
      </c>
      <c r="B2" s="2" t="s">
        <v>117</v>
      </c>
      <c r="C2" s="2" t="s">
        <v>101</v>
      </c>
      <c r="D2" s="2" t="s">
        <v>103</v>
      </c>
    </row>
    <row r="3" spans="1:4" x14ac:dyDescent="0.3">
      <c r="A3" s="2" t="s">
        <v>140</v>
      </c>
      <c r="B3" s="2" t="s">
        <v>118</v>
      </c>
      <c r="C3" s="2" t="s">
        <v>102</v>
      </c>
      <c r="D3" s="2" t="s">
        <v>104</v>
      </c>
    </row>
    <row r="4" spans="1:4" x14ac:dyDescent="0.3">
      <c r="A4" s="2" t="s">
        <v>141</v>
      </c>
      <c r="B4" s="2" t="s">
        <v>106</v>
      </c>
      <c r="C4" s="2" t="s">
        <v>107</v>
      </c>
      <c r="D4" s="2" t="s">
        <v>103</v>
      </c>
    </row>
    <row r="5" spans="1:4" x14ac:dyDescent="0.3">
      <c r="A5" s="2" t="s">
        <v>142</v>
      </c>
      <c r="B5" s="2" t="s">
        <v>108</v>
      </c>
      <c r="C5" s="2" t="s">
        <v>109</v>
      </c>
      <c r="D5" s="2" t="s">
        <v>103</v>
      </c>
    </row>
    <row r="6" spans="1:4" x14ac:dyDescent="0.3">
      <c r="A6" s="2" t="s">
        <v>111</v>
      </c>
      <c r="B6" s="2" t="s">
        <v>111</v>
      </c>
      <c r="C6" s="2" t="s">
        <v>110</v>
      </c>
      <c r="D6" s="2" t="s">
        <v>103</v>
      </c>
    </row>
    <row r="7" spans="1:4" x14ac:dyDescent="0.3">
      <c r="A7" s="2" t="s">
        <v>114</v>
      </c>
      <c r="B7" s="2" t="s">
        <v>114</v>
      </c>
      <c r="C7" s="2" t="s">
        <v>113</v>
      </c>
      <c r="D7" s="2" t="s">
        <v>103</v>
      </c>
    </row>
    <row r="8" spans="1:4" x14ac:dyDescent="0.3">
      <c r="A8" s="2" t="s">
        <v>578</v>
      </c>
      <c r="B8" s="2" t="s">
        <v>116</v>
      </c>
      <c r="C8" s="2" t="s">
        <v>115</v>
      </c>
      <c r="D8" s="2" t="s">
        <v>103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main</vt:lpstr>
      <vt:lpstr>all_econ_tickers</vt:lpstr>
      <vt:lpstr>scrap</vt:lpstr>
      <vt:lpstr>econ_country_codes</vt:lpstr>
      <vt:lpstr>econ_country_groups</vt:lpstr>
      <vt:lpstr>US State Tickers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saeedamen</dc:creator>
  <cp:lastModifiedBy>saeedamen</cp:lastModifiedBy>
  <dcterms:created xsi:type="dcterms:W3CDTF">2015-08-04T14:51:44Z</dcterms:created>
  <dcterms:modified xsi:type="dcterms:W3CDTF">2015-08-18T08:45:58Z</dcterms:modified>
</cp:coreProperties>
</file>